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mc:AlternateContent xmlns:mc="http://schemas.openxmlformats.org/markup-compatibility/2006">
    <mc:Choice Requires="x15">
      <x15ac:absPath xmlns:x15ac="http://schemas.microsoft.com/office/spreadsheetml/2010/11/ac" url="E:\PROGRAMS\15_SSHS\SCHOOL FORMS FOR SSHS\Final Versions\"/>
    </mc:Choice>
  </mc:AlternateContent>
  <xr:revisionPtr revIDLastSave="0" documentId="8_{B17B3747-7806-4689-ABF4-12037BAC01CC}" xr6:coauthVersionLast="47" xr6:coauthVersionMax="47" xr10:uidLastSave="{00000000-0000-0000-0000-000000000000}"/>
  <bookViews>
    <workbookView xWindow="-108" yWindow="-108" windowWidth="23256" windowHeight="12456" firstSheet="2" activeTab="2" xr2:uid="{B78E1F50-F383-4CC7-85C5-664816F1D048}"/>
  </bookViews>
  <sheets>
    <sheet name="FRONT" sheetId="4" r:id="rId1"/>
    <sheet name="BACK" sheetId="7" r:id="rId2"/>
    <sheet name="ANNEX" sheetId="8" r:id="rId3"/>
    <sheet name="HELPER_SUBJECTS" sheetId="3" state="hidden" r:id="rId4"/>
  </sheets>
  <definedNames>
    <definedName name="_xlnm._FilterDatabase" localSheetId="0" hidden="1">FRONT!$C$22:$L$23</definedName>
    <definedName name="_xlnm.Print_Area" localSheetId="2">ANNEX!$A$1:$H$61</definedName>
    <definedName name="_xlnm.Print_Area" localSheetId="1">BACK!$A$1:$Y$118</definedName>
    <definedName name="_xlnm.Print_Area" localSheetId="0">FRONT!$A$1:$Y$124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5" i="7" l="1"/>
  <c r="AC46" i="7"/>
  <c r="AC47" i="7"/>
  <c r="AC48" i="7"/>
  <c r="AC49" i="7"/>
  <c r="AC50" i="7"/>
  <c r="AC51" i="7"/>
  <c r="AC52" i="7"/>
  <c r="AC53" i="7"/>
  <c r="AC54" i="7"/>
  <c r="AC10" i="7"/>
  <c r="AC11" i="7"/>
  <c r="AC12" i="7"/>
  <c r="AC13" i="7"/>
  <c r="AC14" i="7"/>
  <c r="AC15" i="7"/>
  <c r="AC16" i="7"/>
  <c r="AC17" i="7"/>
  <c r="AC18" i="7"/>
  <c r="AC19" i="7"/>
  <c r="D77" i="7" a="1"/>
  <c r="D77" i="7" s="1"/>
  <c r="T77" i="7" s="1"/>
  <c r="B79" i="7"/>
  <c r="AD11" i="7"/>
  <c r="AE11" i="7"/>
  <c r="AD12" i="7"/>
  <c r="AE12" i="7"/>
  <c r="AD13" i="7"/>
  <c r="AE13" i="7"/>
  <c r="AD14" i="7"/>
  <c r="AE14" i="7"/>
  <c r="AD45" i="7"/>
  <c r="AE45" i="7"/>
  <c r="AD46" i="7"/>
  <c r="AE46" i="7"/>
  <c r="AD47" i="7"/>
  <c r="AE47" i="7"/>
  <c r="AD48" i="7"/>
  <c r="AE48" i="7"/>
  <c r="AD49" i="7"/>
  <c r="AE49" i="7"/>
  <c r="AF14" i="7" l="1"/>
  <c r="W14" i="7" s="1"/>
  <c r="Q77" i="7"/>
  <c r="R77" i="7"/>
  <c r="S77" i="7"/>
  <c r="AF13" i="7"/>
  <c r="T13" i="7" s="1"/>
  <c r="U13" i="7" s="1"/>
  <c r="AF49" i="7"/>
  <c r="T49" i="7" s="1"/>
  <c r="U49" i="7" s="1"/>
  <c r="AF48" i="7"/>
  <c r="T48" i="7" s="1"/>
  <c r="U48" i="7" s="1"/>
  <c r="AF11" i="7"/>
  <c r="T11" i="7" s="1"/>
  <c r="U11" i="7" s="1"/>
  <c r="AF45" i="7"/>
  <c r="AF12" i="7"/>
  <c r="T12" i="7" s="1"/>
  <c r="U12" i="7" s="1"/>
  <c r="AF47" i="7"/>
  <c r="W47" i="7" s="1"/>
  <c r="AF46" i="7"/>
  <c r="W46" i="7" s="1"/>
  <c r="T14" i="7"/>
  <c r="U14" i="7" s="1"/>
  <c r="D111" i="4" a="1"/>
  <c r="D111" i="4" s="1"/>
  <c r="B80" i="7"/>
  <c r="B81" i="7"/>
  <c r="B82" i="7"/>
  <c r="B83" i="7"/>
  <c r="B84" i="7"/>
  <c r="B85" i="7"/>
  <c r="B86" i="7"/>
  <c r="B87" i="7"/>
  <c r="B88" i="7"/>
  <c r="W49" i="7" l="1"/>
  <c r="W13" i="7"/>
  <c r="T46" i="7"/>
  <c r="U46" i="7" s="1"/>
  <c r="W11" i="7"/>
  <c r="W48" i="7"/>
  <c r="W12" i="7"/>
  <c r="T47" i="7"/>
  <c r="U47" i="7" s="1"/>
  <c r="AC53" i="4"/>
  <c r="W78" i="4"/>
  <c r="W77" i="4"/>
  <c r="AD83" i="7"/>
  <c r="AE83" i="7"/>
  <c r="AD84" i="7"/>
  <c r="AE84" i="7"/>
  <c r="AD85" i="7"/>
  <c r="AE85" i="7"/>
  <c r="AD86" i="7"/>
  <c r="AE86" i="7"/>
  <c r="AD87" i="7"/>
  <c r="AE87" i="7"/>
  <c r="AD88" i="7"/>
  <c r="AE88" i="7"/>
  <c r="AE82" i="7"/>
  <c r="AD82" i="7"/>
  <c r="AE81" i="7"/>
  <c r="AD81" i="7"/>
  <c r="AE80" i="7"/>
  <c r="AD80" i="7"/>
  <c r="AE79" i="7"/>
  <c r="AD79" i="7"/>
  <c r="AE53" i="7"/>
  <c r="AD53" i="7"/>
  <c r="AE52" i="7"/>
  <c r="AD52" i="7"/>
  <c r="AE51" i="7"/>
  <c r="AD51" i="7"/>
  <c r="AE50" i="7"/>
  <c r="AD50" i="7"/>
  <c r="AE44" i="7"/>
  <c r="AD44" i="7"/>
  <c r="AE18" i="7"/>
  <c r="AD18" i="7"/>
  <c r="AF18" i="7" s="1"/>
  <c r="W18" i="7" s="1"/>
  <c r="AE17" i="7"/>
  <c r="AD17" i="7"/>
  <c r="AE16" i="7"/>
  <c r="AD16" i="7"/>
  <c r="AE15" i="7"/>
  <c r="AD15" i="7"/>
  <c r="AE10" i="7"/>
  <c r="AD10" i="7"/>
  <c r="AE9" i="7"/>
  <c r="AD9" i="7"/>
  <c r="AE41" i="4"/>
  <c r="AD41" i="4"/>
  <c r="AE40" i="4"/>
  <c r="AD40" i="4"/>
  <c r="AF40" i="4" s="1"/>
  <c r="T40" i="4" s="1"/>
  <c r="AE39" i="4"/>
  <c r="AD39" i="4"/>
  <c r="AE38" i="4"/>
  <c r="AD38" i="4"/>
  <c r="AE37" i="4"/>
  <c r="AD37" i="4"/>
  <c r="AE36" i="4"/>
  <c r="AD36" i="4"/>
  <c r="AE35" i="4"/>
  <c r="AD35" i="4"/>
  <c r="AF35" i="4" s="1"/>
  <c r="W35" i="4" s="1"/>
  <c r="AE80" i="4"/>
  <c r="AD80" i="4"/>
  <c r="AF80" i="4" s="1"/>
  <c r="T80" i="4" s="1"/>
  <c r="U80" i="4" s="1"/>
  <c r="AE79" i="4"/>
  <c r="AD79" i="4"/>
  <c r="W79" i="4" s="1"/>
  <c r="AE78" i="4"/>
  <c r="AD78" i="4"/>
  <c r="AE77" i="4"/>
  <c r="AD77" i="4"/>
  <c r="AE76" i="4"/>
  <c r="AD76" i="4"/>
  <c r="W76" i="4" s="1"/>
  <c r="AE75" i="4"/>
  <c r="AD75" i="4"/>
  <c r="AF75" i="4" s="1"/>
  <c r="T75" i="4" s="1"/>
  <c r="U75" i="4" s="1"/>
  <c r="AE74" i="4"/>
  <c r="AD74" i="4"/>
  <c r="AF74" i="4" s="1"/>
  <c r="W74" i="4" s="1"/>
  <c r="AD114" i="4"/>
  <c r="AD115" i="4"/>
  <c r="AD116" i="4"/>
  <c r="AD117" i="4"/>
  <c r="AD118" i="4"/>
  <c r="AD119" i="4"/>
  <c r="AD120" i="4"/>
  <c r="AD121" i="4"/>
  <c r="AD122" i="4"/>
  <c r="AE119" i="4"/>
  <c r="AF119" i="4" s="1"/>
  <c r="AE120" i="4"/>
  <c r="AF120" i="4" s="1"/>
  <c r="AE121" i="4"/>
  <c r="AF121" i="4" s="1"/>
  <c r="AE122" i="4"/>
  <c r="AF122" i="4" s="1"/>
  <c r="AE114" i="4"/>
  <c r="AE115" i="4"/>
  <c r="AE116" i="4"/>
  <c r="AE117" i="4"/>
  <c r="AE118" i="4"/>
  <c r="AF118" i="4" s="1"/>
  <c r="AE104" i="4"/>
  <c r="AF104" i="4" s="1"/>
  <c r="B78" i="7"/>
  <c r="B114" i="4"/>
  <c r="B115" i="4"/>
  <c r="B116" i="4"/>
  <c r="B117" i="4"/>
  <c r="B118" i="4"/>
  <c r="B119" i="4"/>
  <c r="B120" i="4"/>
  <c r="B121" i="4"/>
  <c r="B122" i="4"/>
  <c r="AD113" i="4"/>
  <c r="AE110" i="4"/>
  <c r="AF110" i="4" s="1"/>
  <c r="AE109" i="4"/>
  <c r="AF109" i="4" s="1"/>
  <c r="AE108" i="4"/>
  <c r="AF108" i="4" s="1"/>
  <c r="AE107" i="4"/>
  <c r="AF107" i="4" s="1"/>
  <c r="AE106" i="4"/>
  <c r="AF106" i="4" s="1"/>
  <c r="AE105" i="4"/>
  <c r="AF105" i="4" s="1"/>
  <c r="AF116" i="4" l="1"/>
  <c r="W80" i="4"/>
  <c r="AF117" i="4"/>
  <c r="AF77" i="4"/>
  <c r="AF115" i="4"/>
  <c r="AF41" i="4"/>
  <c r="T41" i="4" s="1"/>
  <c r="AF52" i="7"/>
  <c r="W52" i="7" s="1"/>
  <c r="AF53" i="7"/>
  <c r="W53" i="7" s="1"/>
  <c r="AF114" i="4"/>
  <c r="AE113" i="4"/>
  <c r="B113" i="4"/>
  <c r="AF113" i="4"/>
  <c r="AF44" i="7"/>
  <c r="W44" i="7" s="1"/>
  <c r="T77" i="4"/>
  <c r="U77" i="4" s="1"/>
  <c r="AF37" i="4"/>
  <c r="T37" i="4" s="1"/>
  <c r="AF80" i="7"/>
  <c r="AF79" i="4"/>
  <c r="T79" i="4" s="1"/>
  <c r="U79" i="4" s="1"/>
  <c r="AF39" i="4"/>
  <c r="T39" i="4" s="1"/>
  <c r="AF82" i="7"/>
  <c r="AF86" i="7"/>
  <c r="AF78" i="4"/>
  <c r="T78" i="4" s="1"/>
  <c r="U78" i="4" s="1"/>
  <c r="AF38" i="4"/>
  <c r="T38" i="4" s="1"/>
  <c r="AF15" i="7"/>
  <c r="AF50" i="7"/>
  <c r="W50" i="7" s="1"/>
  <c r="AF84" i="7"/>
  <c r="B77" i="7"/>
  <c r="AE78" i="7"/>
  <c r="AD78" i="7"/>
  <c r="AF85" i="7"/>
  <c r="AF51" i="7"/>
  <c r="AF81" i="7"/>
  <c r="T18" i="7"/>
  <c r="U18" i="7" s="1"/>
  <c r="AF88" i="7"/>
  <c r="AF76" i="4"/>
  <c r="T76" i="4" s="1"/>
  <c r="U76" i="4" s="1"/>
  <c r="AF36" i="4"/>
  <c r="T36" i="4" s="1"/>
  <c r="AF83" i="7"/>
  <c r="AF87" i="7"/>
  <c r="AF79" i="7"/>
  <c r="W75" i="4"/>
  <c r="T74" i="4"/>
  <c r="U74" i="4" s="1"/>
  <c r="AD111" i="4"/>
  <c r="AE112" i="4"/>
  <c r="AD112" i="4"/>
  <c r="B112" i="4"/>
  <c r="T35" i="4"/>
  <c r="AF16" i="7"/>
  <c r="AF17" i="7"/>
  <c r="AF9" i="7"/>
  <c r="AF10" i="7"/>
  <c r="T52" i="7" l="1"/>
  <c r="U52" i="7" s="1"/>
  <c r="T53" i="7"/>
  <c r="U53" i="7" s="1"/>
  <c r="T44" i="7"/>
  <c r="U44" i="7" s="1"/>
  <c r="AF78" i="7"/>
  <c r="AF112" i="4"/>
  <c r="T15" i="7"/>
  <c r="U15" i="7" s="1"/>
  <c r="W15" i="7"/>
  <c r="T50" i="7"/>
  <c r="U50" i="7" s="1"/>
  <c r="B111" i="4"/>
  <c r="AD77" i="7"/>
  <c r="AE77" i="7"/>
  <c r="T10" i="7"/>
  <c r="U10" i="7" s="1"/>
  <c r="W10" i="7"/>
  <c r="W17" i="7"/>
  <c r="T17" i="7"/>
  <c r="U17" i="7" s="1"/>
  <c r="W16" i="7"/>
  <c r="T16" i="7"/>
  <c r="U16" i="7" s="1"/>
  <c r="T45" i="7"/>
  <c r="U45" i="7" s="1"/>
  <c r="W45" i="7"/>
  <c r="W51" i="7"/>
  <c r="T51" i="7"/>
  <c r="U51" i="7" s="1"/>
  <c r="AE111" i="4"/>
  <c r="AF111" i="4" s="1"/>
  <c r="T9" i="7"/>
  <c r="U9" i="7" s="1"/>
  <c r="W9" i="7"/>
  <c r="AF77" i="7" l="1"/>
  <c r="U56" i="4"/>
  <c r="T56" i="4"/>
  <c r="U55" i="4"/>
  <c r="T55" i="4"/>
  <c r="U54" i="4"/>
  <c r="T54" i="4"/>
  <c r="U53" i="4"/>
  <c r="T53" i="4"/>
  <c r="Q80" i="7"/>
  <c r="R80" i="7"/>
  <c r="S80" i="7"/>
  <c r="T80" i="7"/>
  <c r="U80" i="7"/>
  <c r="V80" i="7"/>
  <c r="Q81" i="7"/>
  <c r="R81" i="7"/>
  <c r="S81" i="7"/>
  <c r="T81" i="7"/>
  <c r="U81" i="7"/>
  <c r="V81" i="7"/>
  <c r="Q82" i="7"/>
  <c r="R82" i="7"/>
  <c r="S82" i="7"/>
  <c r="T82" i="7"/>
  <c r="U82" i="7"/>
  <c r="V82" i="7"/>
  <c r="Q83" i="7"/>
  <c r="R83" i="7"/>
  <c r="S83" i="7"/>
  <c r="T83" i="7"/>
  <c r="U83" i="7"/>
  <c r="V83" i="7"/>
  <c r="Q84" i="7"/>
  <c r="R84" i="7"/>
  <c r="S84" i="7"/>
  <c r="T84" i="7"/>
  <c r="U84" i="7"/>
  <c r="V84" i="7"/>
  <c r="Q85" i="7"/>
  <c r="R85" i="7"/>
  <c r="S85" i="7"/>
  <c r="T85" i="7"/>
  <c r="U85" i="7"/>
  <c r="V85" i="7"/>
  <c r="Q86" i="7"/>
  <c r="R86" i="7"/>
  <c r="S86" i="7"/>
  <c r="T86" i="7"/>
  <c r="U86" i="7"/>
  <c r="V86" i="7"/>
  <c r="Q87" i="7"/>
  <c r="R87" i="7"/>
  <c r="S87" i="7"/>
  <c r="T87" i="7"/>
  <c r="U87" i="7"/>
  <c r="V87" i="7"/>
  <c r="Q88" i="7"/>
  <c r="R88" i="7"/>
  <c r="S88" i="7"/>
  <c r="T88" i="7"/>
  <c r="U88" i="7"/>
  <c r="V88" i="7"/>
  <c r="AD68" i="7"/>
  <c r="AC68" i="7"/>
  <c r="AD67" i="7"/>
  <c r="AC67" i="7"/>
  <c r="AD66" i="7"/>
  <c r="AC66" i="7"/>
  <c r="AD65" i="7"/>
  <c r="AC65" i="7"/>
  <c r="AC44" i="7"/>
  <c r="AC34" i="7"/>
  <c r="AD33" i="7"/>
  <c r="AC33" i="7"/>
  <c r="AD32" i="7"/>
  <c r="AC32" i="7"/>
  <c r="AD31" i="7"/>
  <c r="AC31" i="7"/>
  <c r="AD30" i="7"/>
  <c r="AC30" i="7"/>
  <c r="AC9" i="7"/>
  <c r="AC130" i="7"/>
  <c r="AC129" i="7"/>
  <c r="AC128" i="7"/>
  <c r="AC127" i="7"/>
  <c r="AC126" i="7"/>
  <c r="AC125" i="7"/>
  <c r="AC124" i="7"/>
  <c r="AC123" i="7"/>
  <c r="AC122" i="7"/>
  <c r="AC121" i="7"/>
  <c r="AC120" i="7"/>
  <c r="AC119" i="7"/>
  <c r="AC103" i="7"/>
  <c r="AC102" i="7"/>
  <c r="AC101" i="7"/>
  <c r="AC100" i="7"/>
  <c r="AC95" i="4"/>
  <c r="AC94" i="4"/>
  <c r="AC93" i="4"/>
  <c r="AC92" i="4"/>
  <c r="AC80" i="4"/>
  <c r="AC79" i="4"/>
  <c r="AC78" i="4"/>
  <c r="AC77" i="4"/>
  <c r="AC76" i="4"/>
  <c r="AC75" i="4"/>
  <c r="AC74" i="4"/>
  <c r="AC54" i="4"/>
  <c r="AC55" i="4"/>
  <c r="AC56" i="4"/>
  <c r="AC57" i="4"/>
  <c r="AC37" i="4"/>
  <c r="AC38" i="4"/>
  <c r="AC39" i="4"/>
  <c r="AC40" i="4"/>
  <c r="AC41" i="4"/>
  <c r="AC36" i="4"/>
  <c r="AC35" i="4"/>
  <c r="R7" i="3" a="1"/>
  <c r="R7" i="3" s="1"/>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H16" i="3"/>
  <c r="H7" i="3"/>
  <c r="H8" i="3"/>
  <c r="H9" i="3"/>
  <c r="H10" i="3"/>
  <c r="H11" i="3"/>
  <c r="H12" i="3"/>
  <c r="H13" i="3"/>
  <c r="H14" i="3"/>
  <c r="H15"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6" i="3"/>
  <c r="E138" i="3"/>
  <c r="E73" i="3"/>
  <c r="P7" i="3" a="1"/>
  <c r="N7" i="3" a="1"/>
  <c r="N7" i="3" s="1"/>
  <c r="O7" i="3" s="1"/>
  <c r="W87" i="7" l="1"/>
  <c r="X87" i="7" s="1"/>
  <c r="W81" i="7"/>
  <c r="X81" i="7" s="1"/>
  <c r="W83" i="7"/>
  <c r="X83" i="7" s="1"/>
  <c r="W86" i="7"/>
  <c r="X86" i="7" s="1"/>
  <c r="W80" i="7"/>
  <c r="X80" i="7" s="1"/>
  <c r="W88" i="7"/>
  <c r="X88" i="7" s="1"/>
  <c r="W82" i="7"/>
  <c r="X82" i="7" s="1"/>
  <c r="W85" i="7"/>
  <c r="X85" i="7" s="1"/>
  <c r="W84" i="7"/>
  <c r="X84" i="7" s="1"/>
  <c r="P7" i="3"/>
  <c r="Q7" i="3" s="1"/>
  <c r="Q8" i="3"/>
  <c r="Q9" i="3"/>
  <c r="O11" i="3"/>
  <c r="O10" i="3"/>
  <c r="O9" i="3"/>
  <c r="O8" i="3"/>
  <c r="Q109" i="4"/>
  <c r="R109" i="4"/>
  <c r="S109" i="4"/>
  <c r="T109" i="4"/>
  <c r="U109" i="4"/>
  <c r="U122" i="4"/>
  <c r="U121" i="4"/>
  <c r="U120" i="4"/>
  <c r="U119" i="4"/>
  <c r="U118" i="4"/>
  <c r="U117" i="4"/>
  <c r="U116" i="4"/>
  <c r="U110" i="4"/>
  <c r="U108" i="4"/>
  <c r="U107" i="4"/>
  <c r="U106" i="4"/>
  <c r="U104" i="4"/>
  <c r="V122" i="4"/>
  <c r="V121" i="4"/>
  <c r="V120" i="4"/>
  <c r="V119" i="4"/>
  <c r="V118" i="4"/>
  <c r="V117" i="4"/>
  <c r="V116" i="4"/>
  <c r="V106" i="4"/>
  <c r="V105" i="4"/>
  <c r="V104" i="4"/>
  <c r="U7" i="3" l="1" a="1"/>
  <c r="U7" i="3" s="1"/>
  <c r="S7" i="3" a="1"/>
  <c r="S7" i="3" s="1"/>
  <c r="V7" i="3" a="1"/>
  <c r="V7" i="3" s="1"/>
  <c r="T7" i="3" a="1"/>
  <c r="T7" i="3" s="1"/>
  <c r="W40" i="4"/>
  <c r="U40" i="4"/>
  <c r="W39" i="4"/>
  <c r="U39" i="4"/>
  <c r="W36" i="4"/>
  <c r="U36" i="4"/>
  <c r="W41" i="4"/>
  <c r="U41" i="4"/>
  <c r="W37" i="4"/>
  <c r="U37" i="4"/>
  <c r="W38" i="4"/>
  <c r="U38" i="4"/>
  <c r="U35" i="4"/>
  <c r="S116" i="4"/>
  <c r="T116" i="4"/>
  <c r="S117" i="4"/>
  <c r="T117" i="4"/>
  <c r="S118" i="4"/>
  <c r="T118" i="4"/>
  <c r="S119" i="4"/>
  <c r="T119" i="4"/>
  <c r="S120" i="4"/>
  <c r="T120" i="4"/>
  <c r="S121" i="4"/>
  <c r="T121" i="4"/>
  <c r="S122" i="4"/>
  <c r="T122" i="4"/>
  <c r="Q116" i="4"/>
  <c r="R116" i="4"/>
  <c r="Q117" i="4"/>
  <c r="R117" i="4"/>
  <c r="Q118" i="4"/>
  <c r="R118" i="4"/>
  <c r="Q119" i="4"/>
  <c r="R119" i="4"/>
  <c r="Q120" i="4"/>
  <c r="R120" i="4"/>
  <c r="Q121" i="4"/>
  <c r="R121" i="4"/>
  <c r="Q122" i="4"/>
  <c r="R122" i="4"/>
  <c r="R28" i="4"/>
  <c r="S28" i="4"/>
  <c r="Q115" i="4"/>
  <c r="R106" i="4"/>
  <c r="S105" i="4"/>
  <c r="T105" i="4"/>
  <c r="S106" i="4"/>
  <c r="T106" i="4"/>
  <c r="S107" i="4"/>
  <c r="T107" i="4"/>
  <c r="S108" i="4"/>
  <c r="T108" i="4"/>
  <c r="S110" i="4"/>
  <c r="T110" i="4"/>
  <c r="R105" i="4"/>
  <c r="R107" i="4"/>
  <c r="R108" i="4"/>
  <c r="R110" i="4"/>
  <c r="Q105" i="4"/>
  <c r="Q106" i="4"/>
  <c r="Q107" i="4"/>
  <c r="Q108" i="4"/>
  <c r="Q110" i="4"/>
  <c r="S67" i="4"/>
  <c r="R67" i="4"/>
  <c r="T92" i="4"/>
  <c r="T68" i="7"/>
  <c r="U68" i="7" s="1"/>
  <c r="T67" i="7"/>
  <c r="U67" i="7" s="1"/>
  <c r="T66" i="7"/>
  <c r="U66" i="7" s="1"/>
  <c r="T65" i="7"/>
  <c r="U65" i="7" s="1"/>
  <c r="T33" i="7"/>
  <c r="U33" i="7" s="1"/>
  <c r="T32" i="7"/>
  <c r="U32" i="7" s="1"/>
  <c r="T31" i="7"/>
  <c r="U31" i="7" s="1"/>
  <c r="T30" i="7"/>
  <c r="U30" i="7" s="1"/>
  <c r="T95" i="4"/>
  <c r="T94" i="4"/>
  <c r="V109" i="4" s="1"/>
  <c r="W109" i="4" s="1"/>
  <c r="T93" i="4"/>
  <c r="W105" i="4" l="1"/>
  <c r="W106" i="4"/>
  <c r="W122" i="4"/>
  <c r="X122" i="4" s="1"/>
  <c r="W120" i="4"/>
  <c r="X120" i="4" s="1"/>
  <c r="W119" i="4"/>
  <c r="X119" i="4" s="1"/>
  <c r="W116" i="4"/>
  <c r="X116" i="4" s="1"/>
  <c r="W118" i="4"/>
  <c r="X118" i="4" s="1"/>
  <c r="W121" i="4"/>
  <c r="X121" i="4" s="1"/>
  <c r="W117" i="4"/>
  <c r="X117" i="4" s="1"/>
  <c r="R79" i="7"/>
  <c r="U79" i="7"/>
  <c r="S79" i="7"/>
  <c r="V79" i="7"/>
  <c r="T79" i="7"/>
  <c r="Q79" i="7"/>
  <c r="U78" i="7"/>
  <c r="V78" i="7"/>
  <c r="V77" i="7"/>
  <c r="U77" i="7"/>
  <c r="Q78" i="7"/>
  <c r="R78" i="7"/>
  <c r="S78" i="7"/>
  <c r="T78" i="7"/>
  <c r="R115" i="4"/>
  <c r="Q114" i="4"/>
  <c r="U115" i="4"/>
  <c r="V115" i="4"/>
  <c r="T115" i="4"/>
  <c r="S115" i="4"/>
  <c r="R104" i="4"/>
  <c r="T114" i="4"/>
  <c r="S114" i="4"/>
  <c r="S113" i="4"/>
  <c r="V114" i="4"/>
  <c r="U114" i="4"/>
  <c r="R114" i="4"/>
  <c r="T113" i="4"/>
  <c r="V113" i="4"/>
  <c r="U113" i="4"/>
  <c r="R113" i="4"/>
  <c r="Q113" i="4"/>
  <c r="U105" i="4"/>
  <c r="T104" i="4"/>
  <c r="R111" i="4"/>
  <c r="U111" i="4"/>
  <c r="U112" i="4"/>
  <c r="V112" i="4"/>
  <c r="V111" i="4"/>
  <c r="U92" i="4"/>
  <c r="V107" i="4"/>
  <c r="W107" i="4" s="1"/>
  <c r="U95" i="4"/>
  <c r="V110" i="4"/>
  <c r="W110" i="4" s="1"/>
  <c r="U94" i="4"/>
  <c r="U93" i="4"/>
  <c r="V108" i="4"/>
  <c r="W108" i="4" s="1"/>
  <c r="R112" i="4"/>
  <c r="Q112" i="4"/>
  <c r="T112" i="4"/>
  <c r="S112" i="4"/>
  <c r="S111" i="4"/>
  <c r="Q111" i="4"/>
  <c r="T111" i="4"/>
  <c r="Q104" i="4"/>
  <c r="S104" i="4"/>
  <c r="W115" i="4" l="1"/>
  <c r="X115" i="4" s="1"/>
  <c r="W104" i="4"/>
  <c r="W78" i="7"/>
  <c r="X78" i="7" s="1"/>
  <c r="W77" i="7"/>
  <c r="W79" i="7"/>
  <c r="X79" i="7" s="1"/>
  <c r="W114" i="4"/>
  <c r="W112" i="4"/>
  <c r="W113" i="4"/>
  <c r="W111" i="4"/>
  <c r="X105" i="4"/>
  <c r="W89" i="7" l="1"/>
  <c r="W123" i="4"/>
  <c r="X77" i="7"/>
  <c r="X111" i="4"/>
  <c r="X113" i="4"/>
  <c r="X112" i="4"/>
  <c r="X106" i="4"/>
  <c r="I9" i="8" s="1"/>
  <c r="B9" i="8" s="1"/>
  <c r="I8" i="8"/>
  <c r="B8" i="8" s="1"/>
  <c r="X110" i="4"/>
  <c r="I13" i="8" s="1"/>
  <c r="B13" i="8" s="1"/>
  <c r="X109" i="4"/>
  <c r="I12" i="8" s="1"/>
  <c r="B12" i="8" s="1"/>
  <c r="X108" i="4"/>
  <c r="I11" i="8" s="1"/>
  <c r="B11" i="8" s="1"/>
  <c r="I52" i="8" l="1"/>
  <c r="B52" i="8" s="1"/>
  <c r="I17" i="8"/>
  <c r="W93" i="7"/>
  <c r="I34" i="8"/>
  <c r="B34" i="8" s="1"/>
  <c r="I19" i="8"/>
  <c r="B19" i="8" s="1"/>
  <c r="X89" i="7"/>
  <c r="X107" i="4"/>
  <c r="I10" i="8" s="1"/>
  <c r="B10" i="8" s="1"/>
  <c r="X104" i="4" l="1"/>
  <c r="I7" i="8" s="1"/>
  <c r="B7" i="8" s="1"/>
  <c r="I18" i="8"/>
  <c r="B18" i="8" s="1"/>
  <c r="B17" i="8"/>
  <c r="X123" i="4" l="1"/>
  <c r="E6" i="3" l="1"/>
  <c r="I6" i="3" a="1"/>
  <c r="I6" i="3" s="1"/>
  <c r="E7" i="3"/>
  <c r="L7" i="3" a="1"/>
  <c r="L7" i="3" s="1"/>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X114" i="4"/>
  <c r="I20" i="8" l="1"/>
  <c r="B20" i="8" s="1"/>
  <c r="I35" i="8"/>
  <c r="B35" i="8" s="1"/>
  <c r="I53" i="8"/>
  <c r="B53" i="8" s="1"/>
  <c r="I43" i="8"/>
  <c r="B43" i="8" s="1"/>
  <c r="I39" i="8"/>
  <c r="B39" i="8" s="1"/>
  <c r="I61" i="8"/>
  <c r="B61" i="8" s="1"/>
  <c r="I40" i="8"/>
  <c r="B40" i="8" s="1"/>
  <c r="I24" i="8"/>
  <c r="B24" i="8" s="1"/>
  <c r="I54" i="8"/>
  <c r="B54" i="8" s="1"/>
  <c r="I57" i="8"/>
  <c r="B57" i="8" s="1"/>
  <c r="I56" i="8"/>
  <c r="B56" i="8" s="1"/>
  <c r="I45" i="8"/>
  <c r="B45" i="8" s="1"/>
  <c r="I41" i="8"/>
  <c r="B41" i="8" s="1"/>
  <c r="I48" i="8"/>
  <c r="B48" i="8" s="1"/>
  <c r="I23" i="8"/>
  <c r="B23" i="8" s="1"/>
  <c r="I27" i="8"/>
  <c r="B27" i="8" s="1"/>
  <c r="I47" i="8"/>
  <c r="B47" i="8" s="1"/>
  <c r="I55" i="8"/>
  <c r="B55" i="8" s="1"/>
  <c r="I60" i="8"/>
  <c r="B60" i="8" s="1"/>
  <c r="I28" i="8"/>
  <c r="B28" i="8" s="1"/>
  <c r="I42" i="8"/>
  <c r="B42" i="8" s="1"/>
  <c r="I58" i="8"/>
  <c r="B58" i="8" s="1"/>
  <c r="I37" i="8"/>
  <c r="B37" i="8" s="1"/>
  <c r="I44" i="8"/>
  <c r="B44" i="8" s="1"/>
  <c r="I26" i="8"/>
  <c r="B26" i="8" s="1"/>
  <c r="I29" i="8"/>
  <c r="B29" i="8" s="1"/>
  <c r="I30" i="8"/>
  <c r="B30" i="8" s="1"/>
  <c r="I38" i="8"/>
  <c r="B38" i="8" s="1"/>
  <c r="I59" i="8"/>
  <c r="B59" i="8" s="1"/>
  <c r="I46" i="8"/>
  <c r="B46" i="8" s="1"/>
  <c r="I22" i="8"/>
  <c r="B22" i="8" s="1"/>
  <c r="I21" i="8"/>
  <c r="B21" i="8" s="1"/>
  <c r="I36" i="8"/>
  <c r="B36" i="8" s="1"/>
  <c r="I25" i="8"/>
  <c r="B25" i="8" s="1"/>
  <c r="I31" i="8"/>
  <c r="B31"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<sst xmlns="http://schemas.openxmlformats.org/spreadsheetml/2006/main" count="1251" uniqueCount="331">
  <si>
    <t>SF-10 for SHS</t>
  </si>
  <si>
    <t>NOTES</t>
  </si>
  <si>
    <t>REPUBLIC OF THE PHILIPPINES</t>
  </si>
  <si>
    <t>DEPARTMENT OF EDUCATION</t>
  </si>
  <si>
    <t>SENIOR HIGH SCHOOL LEARNER'S PERMANENT RECORD</t>
  </si>
  <si>
    <t>LEARNER'S INFORMATION</t>
  </si>
  <si>
    <t>Last Name:</t>
  </si>
  <si>
    <t>First Name:</t>
  </si>
  <si>
    <t>Middle Name:</t>
  </si>
  <si>
    <t>Extension:</t>
  </si>
  <si>
    <t>LRN:</t>
  </si>
  <si>
    <t>Date of Birth:</t>
  </si>
  <si>
    <t>Sex:</t>
  </si>
  <si>
    <t>Date of SHS Admission:</t>
  </si>
  <si>
    <t>MM / DD / YYYY</t>
  </si>
  <si>
    <t>ELIGIBILITY FOR SHS ENROLMENT</t>
  </si>
  <si>
    <t>selected</t>
  </si>
  <si>
    <t>High School Completer*</t>
  </si>
  <si>
    <t>Gen. Ave:</t>
  </si>
  <si>
    <t>Junior High School Completer</t>
  </si>
  <si>
    <t>Date of Graduation/Completion:</t>
  </si>
  <si>
    <t>Name of School:</t>
  </si>
  <si>
    <t>School Add.:</t>
  </si>
  <si>
    <t>PEPT Passer**</t>
  </si>
  <si>
    <t>Rating:</t>
  </si>
  <si>
    <t>ALS A&amp;E Passer***</t>
  </si>
  <si>
    <r>
      <t xml:space="preserve">Others </t>
    </r>
    <r>
      <rPr>
        <i/>
        <sz val="10"/>
        <color theme="1"/>
        <rFont val="Arial Narrow"/>
        <family val="2"/>
      </rPr>
      <t>(Pls.Specify)</t>
    </r>
    <r>
      <rPr>
        <b/>
        <i/>
        <sz val="10"/>
        <color theme="1"/>
        <rFont val="Arial Narrow"/>
        <family val="2"/>
      </rPr>
      <t>:</t>
    </r>
  </si>
  <si>
    <t>Date of Examination/Assessment:</t>
  </si>
  <si>
    <t>Name &amp; Address of CLC:</t>
  </si>
  <si>
    <t>(Community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</si>
  <si>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</si>
  <si>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</si>
  <si>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</si>
  <si>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</si>
  <si>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</si>
  <si>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</si>
  <si>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</si>
  <si>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SECTION:</t>
  </si>
  <si>
    <t>FIRST SEMESTER     /     FIRST SEMESTER     /     FIRST SEMESTER     /     FIRST SEMESTER     /     FIRST SEMESTER</t>
  </si>
  <si>
    <t>TRACK:</t>
  </si>
  <si>
    <t>SCHOOL YEAR:</t>
  </si>
  <si>
    <t>SEM:</t>
  </si>
  <si>
    <t>FIRST</t>
  </si>
  <si>
    <t>TRACK</t>
  </si>
  <si>
    <t>SUBJECTS</t>
  </si>
  <si>
    <t>QUARTERLY GRADE</t>
  </si>
  <si>
    <t>1ST SEMESTRAL GRADE</t>
  </si>
  <si>
    <t>REMARK</t>
  </si>
  <si>
    <t>GEN. AVE.</t>
  </si>
  <si>
    <t>ACTION TAKEN</t>
  </si>
  <si>
    <t>Core/Academic/TechPro</t>
  </si>
  <si>
    <t>Specific core or elective subject</t>
  </si>
  <si>
    <t>Q1</t>
  </si>
  <si>
    <t>Q2</t>
  </si>
  <si>
    <t>Final Grade Computation</t>
  </si>
  <si>
    <t>CORE</t>
  </si>
  <si>
    <t>Effective Communication &amp; Mabisang Komunikasyon</t>
  </si>
  <si>
    <t>The General Average / Final Grade is the average of four (4) quarterly grades.</t>
  </si>
  <si>
    <t>1A</t>
  </si>
  <si>
    <t>Effective Communication</t>
  </si>
  <si>
    <t>1B</t>
  </si>
  <si>
    <t>Mabisang Komunikasyon</t>
  </si>
  <si>
    <t>General Mathematics</t>
  </si>
  <si>
    <t>General Science</t>
  </si>
  <si>
    <t>Life and Career Skills</t>
  </si>
  <si>
    <t>Pag-aaral ng Kasaysayan at Lipunang Pilipino</t>
  </si>
  <si>
    <t>Listed</t>
  </si>
  <si>
    <t>New</t>
  </si>
  <si>
    <t>Quarters</t>
  </si>
  <si>
    <t>Remarks:</t>
  </si>
  <si>
    <t xml:space="preserve">Prepared by: </t>
  </si>
  <si>
    <t>Certified True and Correct:</t>
  </si>
  <si>
    <t>Date Checked:</t>
  </si>
  <si>
    <r>
      <t xml:space="preserve">Signature of </t>
    </r>
    <r>
      <rPr>
        <b/>
        <i/>
        <sz val="8"/>
        <color theme="1"/>
        <rFont val="Arial Narrow"/>
        <family val="2"/>
      </rPr>
      <t>Adviser</t>
    </r>
    <r>
      <rPr>
        <i/>
        <sz val="8"/>
        <color theme="1"/>
        <rFont val="Arial Narrow"/>
        <family val="2"/>
      </rPr>
      <t xml:space="preserve"> over Printed Name</t>
    </r>
  </si>
  <si>
    <r>
      <t>Signature of</t>
    </r>
    <r>
      <rPr>
        <b/>
        <i/>
        <sz val="8"/>
        <color theme="1"/>
        <rFont val="Arial Narrow"/>
        <family val="2"/>
      </rPr>
      <t xml:space="preserve"> Authorized Person</t>
    </r>
    <r>
      <rPr>
        <i/>
        <sz val="8"/>
        <color theme="1"/>
        <rFont val="Arial Narrow"/>
        <family val="2"/>
      </rPr>
      <t xml:space="preserve"> over Printed Name, Designation</t>
    </r>
  </si>
  <si>
    <t>REMEDIATION CLASS</t>
  </si>
  <si>
    <t>Conducted from:</t>
  </si>
  <si>
    <t>to</t>
  </si>
  <si>
    <t>School:</t>
  </si>
  <si>
    <t>School ID:</t>
  </si>
  <si>
    <t>Failed Final Gr.</t>
  </si>
  <si>
    <t>Remedial Mark</t>
  </si>
  <si>
    <t>Recomputed</t>
  </si>
  <si>
    <t>Name of Teacher/Adviser:</t>
  </si>
  <si>
    <t>NAME</t>
  </si>
  <si>
    <t>Signature:</t>
  </si>
  <si>
    <t>SECOND SEMESTER     /     SECOND SEMESTER     /     SECOND SEMESTER     /     SECOND SEMESTER     /     SECOND SEM</t>
  </si>
  <si>
    <t>SECOND</t>
  </si>
  <si>
    <t>2ND SEMESTRAL GRADE</t>
  </si>
  <si>
    <t>Q3</t>
  </si>
  <si>
    <t>Q4</t>
  </si>
  <si>
    <t>SUMMARY OF FINAL GRADES FOR GRADE 11</t>
  </si>
  <si>
    <t>REMEDIAL</t>
  </si>
  <si>
    <t>FINAL GRADE</t>
  </si>
  <si>
    <t>Sem. 1</t>
  </si>
  <si>
    <t>Sem. 2</t>
  </si>
  <si>
    <t>General Average Grade:</t>
  </si>
  <si>
    <t>page 1 of 2</t>
  </si>
  <si>
    <t>SF10 for SHS</t>
  </si>
  <si>
    <t>Academic/TechPro</t>
  </si>
  <si>
    <t>reference / subject list</t>
  </si>
  <si>
    <t>SUMMARY OF FINAL GRADES FOR GRADE 12</t>
  </si>
  <si>
    <t>Track Accomplished:</t>
  </si>
  <si>
    <t>SHS General Average:</t>
  </si>
  <si>
    <t>Awards/Honors Received:</t>
  </si>
  <si>
    <t>Date of SHS Graduation:</t>
  </si>
  <si>
    <t>Confirmed by:</t>
  </si>
  <si>
    <t>Date:</t>
  </si>
  <si>
    <t>Place School Seal Here: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</si>
  <si>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</si>
  <si>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</si>
  <si>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grade</t>
  </si>
  <si>
    <t>REMARKS:</t>
  </si>
  <si>
    <t>Please indicate the purpose for which this permanent record will be used.</t>
  </si>
  <si>
    <t>Date Issued:</t>
  </si>
  <si>
    <t>page 2 of 2</t>
  </si>
  <si>
    <t>ANNEX: LIST OF SUBJECTS TAKEN</t>
  </si>
  <si>
    <t>Please check the subjects passed by the student</t>
  </si>
  <si>
    <t>CORE SUBJECTS</t>
  </si>
  <si>
    <t>SOURCE</t>
  </si>
  <si>
    <t>ACADEMIC ELECTIVES</t>
  </si>
  <si>
    <t>TECHPRO ELECTIVES</t>
  </si>
  <si>
    <t>OTHER SUBJECTS</t>
  </si>
  <si>
    <r>
      <t xml:space="preserve">Please list the subjects and indicate the corresponding number of quarters in which they are offered </t>
    </r>
    <r>
      <rPr>
        <b/>
        <i/>
        <sz val="8"/>
        <color theme="1"/>
        <rFont val="Arial Narrow"/>
        <family val="2"/>
      </rPr>
      <t>(2 or 4)</t>
    </r>
    <r>
      <rPr>
        <i/>
        <sz val="8"/>
        <color theme="1"/>
        <rFont val="Arial Narrow"/>
        <family val="2"/>
      </rPr>
      <t>.</t>
    </r>
  </si>
  <si>
    <t>Track</t>
  </si>
  <si>
    <t>Subject</t>
  </si>
  <si>
    <t>No. of Quarters</t>
  </si>
  <si>
    <t>REMARKS</t>
  </si>
  <si>
    <t>Elective</t>
  </si>
  <si>
    <t>Cluster</t>
  </si>
  <si>
    <t>Remediation</t>
  </si>
  <si>
    <t>&gt;</t>
  </si>
  <si>
    <t>HELPER SHEET</t>
  </si>
  <si>
    <t>Final List of Subjects for Dropdown</t>
  </si>
  <si>
    <t>Core Subject (All Tracks)</t>
  </si>
  <si>
    <t>&gt;&gt;</t>
  </si>
  <si>
    <t>SSHSSF102026</t>
  </si>
  <si>
    <t>ACADEMIC</t>
  </si>
  <si>
    <t>TECHPRO</t>
  </si>
  <si>
    <t>ACADEMIC 11</t>
  </si>
  <si>
    <t>TECHPRO 11</t>
  </si>
  <si>
    <t>ACADEMIC 12</t>
  </si>
  <si>
    <t>TECHPRO 12</t>
  </si>
  <si>
    <t>Academic Elective (All Other Electives)</t>
  </si>
  <si>
    <t>'HELPER_SUBJECTS'!m7:m76</t>
  </si>
  <si>
    <t>'HELPER_SUBJECTS'!n7:n76</t>
  </si>
  <si>
    <t>'HELPER_SUBJECTS'!p7:p76</t>
  </si>
  <si>
    <t>'HELPER_SUBJECTS'!S7:S76</t>
  </si>
  <si>
    <t>'HELPER_SUBJECTS'!T7:T76</t>
  </si>
  <si>
    <t>'HELPER_SUBJECTS'!U7:U76</t>
  </si>
  <si>
    <t>'HELPER_SUBJECTS'!V7:V76</t>
  </si>
  <si>
    <t>Academic Elective (Field Experience / Exposure, and Sports and Arts)</t>
  </si>
  <si>
    <t>HELPER</t>
  </si>
  <si>
    <t>Grade Lvl</t>
  </si>
  <si>
    <t>TRACK/CLUSTER</t>
  </si>
  <si>
    <t>G LVL</t>
  </si>
  <si>
    <t>TechPro Elective (All Other Electives)</t>
  </si>
  <si>
    <t>'HELPER_SUBJECTS'!L6:L11</t>
  </si>
  <si>
    <t>TechPro Elective (Work Immersion)</t>
  </si>
  <si>
    <t>'HELPER_SUBJECTS'!M6:M76</t>
  </si>
  <si>
    <t>ACADEMIC - ARTS, SOCIAL SCIENCE AND HUMANITIES CLUSTER</t>
  </si>
  <si>
    <t>'HELPER_SUBJECTS'!N6:N76</t>
  </si>
  <si>
    <t>ACADEMIC - BUSINESS AND ENTREPRENEURSHIP</t>
  </si>
  <si>
    <t>ARTS, SOCIAL SCIENCE AND HUMANITIES CLUSTER</t>
  </si>
  <si>
    <t>Arts 1 (Creative Industries - Visual Art, Literary Art, Media Art, Applied Art, and Traditional Art)</t>
  </si>
  <si>
    <t>ACADEMIC - SCIENCE, TECHNOLOGY, ENGINEERING AND MATHEMATICS</t>
  </si>
  <si>
    <t>Arts 2 (Creative Industries - Music, Dance, and Theater)</t>
  </si>
  <si>
    <t>ACADEMIC - SPORTS, HEALTH AND WELLNESS</t>
  </si>
  <si>
    <t>Filipino Identity Through the Arts</t>
  </si>
  <si>
    <t>GRADING SYSTEM</t>
  </si>
  <si>
    <t>ACADEMIC - FIELD EXPOSURE, ARTS AND SPORTS</t>
  </si>
  <si>
    <t>Leadership and Mangement in the Arts</t>
  </si>
  <si>
    <t>Code</t>
  </si>
  <si>
    <t>Computation</t>
  </si>
  <si>
    <t>TECHPRO - AESTHETIC, WELLNESS AND HUMAN CARE CLUSTER</t>
  </si>
  <si>
    <t>Citizenship and Civic Engagement</t>
  </si>
  <si>
    <t>Ave. of 2 Qs; Sem. Grade</t>
  </si>
  <si>
    <t>TECHPRO - AGRI-FISHERY BUSINESS AND FOOD INNOVATION</t>
  </si>
  <si>
    <t>Contemporary Literature 1</t>
  </si>
  <si>
    <t>Ave. of 4 Qs; No Sem.Grade</t>
  </si>
  <si>
    <t>TECHPRO - ARTISANRY AND CREATIVE ENTERPRISE</t>
  </si>
  <si>
    <t>Contemporary Literature 2</t>
  </si>
  <si>
    <t>TECHPRO - AUTOMOTIVE AND SMALL ENGINE TECHNOLOGIES</t>
  </si>
  <si>
    <t>Creative Composition 1</t>
  </si>
  <si>
    <t>TECHPRO - CONSTRUCTION AND BUILDING TECHNOLOGIES</t>
  </si>
  <si>
    <t>Creative Composition 2</t>
  </si>
  <si>
    <t>TECHPRO - CREATIVE ARTS AND DESIGN TECHNOLOGIES</t>
  </si>
  <si>
    <t>Filipino 1 (Wika at Komunikasyon sa Akademikong Filipino)</t>
  </si>
  <si>
    <t>TECHPRO - HOSPITALITY AND TOURISM</t>
  </si>
  <si>
    <t>Filipino 2 (Filipino para sa Larang Teknikal-Propesyonal)</t>
  </si>
  <si>
    <t>TECHPRO - INDUSTRIAL TECHNOLOGIES</t>
  </si>
  <si>
    <t>Filipino 2 (Filipino sa Isports)</t>
  </si>
  <si>
    <t>TECHPRO - ICT SUPPORT AND COMPUTER PROGRAMMING TECHNOLOGIES</t>
  </si>
  <si>
    <t>Filipino 2 (Filipino sa Sining at Disenyo)</t>
  </si>
  <si>
    <t>TECHPRO - MARITIME TRANSPORT</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</si>
  <si>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</si>
  <si>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</si>
  <si>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</si>
  <si>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</si>
  <si>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</si>
  <si>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</si>
  <si>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</si>
  <si>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</si>
  <si>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</si>
  <si>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</si>
  <si>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</si>
  <si>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</si>
  <si>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</si>
  <si>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</si>
  <si>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</si>
  <si>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</si>
  <si>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</si>
  <si>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</si>
  <si>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</si>
  <si>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</si>
  <si>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</si>
  <si>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</si>
  <si>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</si>
  <si>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</si>
  <si>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</si>
  <si>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</si>
  <si>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</si>
  <si>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</si>
  <si>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</si>
  <si>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</si>
  <si>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</si>
  <si>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</si>
  <si>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</si>
  <si>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</si>
  <si>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</si>
  <si>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</si>
  <si>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</si>
  <si>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</si>
  <si>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</si>
  <si>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</si>
  <si>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</si>
  <si>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</si>
  <si>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</si>
  <si>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</si>
  <si>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</si>
  <si>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</si>
  <si>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</si>
  <si>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</si>
  <si>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</si>
  <si>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</si>
  <si>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</si>
  <si>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FIELD EXPOSURE, ARTS AND SPORTS</t>
  </si>
  <si>
    <t>Arts Apprenticeship</t>
  </si>
  <si>
    <t>Creative Production and Presentation</t>
  </si>
  <si>
    <t>Design and Innovation</t>
  </si>
  <si>
    <t>Research Methods</t>
  </si>
  <si>
    <t>FIELD EXPOSURE</t>
  </si>
  <si>
    <t>Field Exposure - Arts Apprenticeship (Dance, Music, Theater Arts, Literary Arts, Visual Arts, Visual, Media, Applied, and Traditional Art)</t>
  </si>
  <si>
    <t>Field Exposure</t>
  </si>
  <si>
    <t>Field Exposure - Creative Production and Presentation</t>
  </si>
  <si>
    <t>AESTHETIC, WELLNESS AND HUMAN CARE CLUSTER</t>
  </si>
  <si>
    <t>Aesthethic Services (Beauty Care)</t>
  </si>
  <si>
    <t>Field Exposure - Design and Innovation</t>
  </si>
  <si>
    <t>Barbering Services</t>
  </si>
  <si>
    <t>Field Exposure - Research Methods</t>
  </si>
  <si>
    <t>Caregiving (Adult Care)</t>
  </si>
  <si>
    <t>Field Exposure - (In-Campus) Sports</t>
  </si>
  <si>
    <t/>
  </si>
  <si>
    <t>Caregiving (Child Care)</t>
  </si>
  <si>
    <t>Field Exposure - (Off-Campus) (Business and Entrepreneurship/ Sports Health, and Wellness/ Science, Technology, Engineering, and Mathematics)</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</si>
  <si>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</si>
  <si>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</si>
  <si>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</si>
  <si>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</si>
  <si>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</si>
  <si>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</si>
  <si>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</si>
  <si>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</si>
  <si>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</si>
  <si>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</si>
  <si>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</si>
  <si>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</si>
  <si>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</si>
  <si>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</si>
  <si>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</si>
  <si>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</si>
  <si>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</si>
  <si>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</si>
  <si>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</si>
  <si>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</si>
  <si>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</si>
  <si>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</si>
  <si>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</si>
  <si>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</si>
  <si>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</si>
  <si>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</si>
  <si>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</si>
  <si>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</si>
  <si>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</si>
  <si>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</si>
  <si>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</si>
  <si>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</si>
  <si>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</si>
  <si>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</si>
  <si>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</si>
  <si>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</si>
  <si>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</si>
  <si>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</si>
  <si>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</si>
  <si>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</si>
  <si>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</si>
  <si>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</si>
  <si>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</si>
  <si>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</si>
  <si>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</si>
  <si>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</si>
  <si>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</si>
  <si>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</si>
  <si>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</si>
  <si>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</si>
  <si>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</si>
  <si>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</si>
  <si>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</si>
  <si>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</si>
  <si>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</si>
  <si>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Work Immersion</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</si>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</sst>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79">
    <font>
      <sz val="11"/>
      <color theme="1"/>
      <name val="Aptos Narrow"/>
      <family val="2"/>
      <scheme val="minor"/>
    </font>
    <font>
      <b/>
      <sz val="11"/>
      <color theme="0"/>
      <name val="Aptos Narrow"/>
      <family val="2"/>
      <scheme val="minor"/>
    </font>
    <font>
      <sz val="10"/>
      <color theme="1"/>
      <name val="Arial Narrow"/>
      <family val="2"/>
    </font>
    <font>
      <sz val="9"/>
      <color theme="1"/>
      <name val="Arial Narrow"/>
      <family val="2"/>
    </font>
    <font>
      <b/>
      <sz val="8"/>
      <color theme="1"/>
      <name val="Arial Narrow"/>
      <family val="2"/>
    </font>
    <font>
      <i/>
      <sz val="7"/>
      <color theme="1"/>
      <name val="Arial Narrow"/>
      <family val="2"/>
    </font>
    <font>
      <sz val="7"/>
      <color theme="1"/>
      <name val="Arial Narrow"/>
      <family val="2"/>
    </font>
    <font>
      <sz val="8"/>
      <color theme="1"/>
      <name val="Arial Narrow"/>
      <family val="2"/>
    </font>
    <font>
      <sz val="8"/>
      <name val="Aptos Narrow"/>
      <family val="2"/>
      <scheme val="minor"/>
    </font>
    <font>
      <b/>
      <sz val="6"/>
      <color theme="1"/>
      <name val="Arial Narrow"/>
      <family val="2"/>
    </font>
    <font>
      <sz val="6"/>
      <color theme="1"/>
      <name val="Arial Narrow"/>
      <family val="2"/>
    </font>
    <font>
      <sz val="12"/>
      <color theme="1"/>
      <name val="Aptos Narrow"/>
      <family val="2"/>
      <scheme val="minor"/>
    </font>
    <font>
      <b/>
      <sz val="12"/>
      <color theme="1"/>
      <name val="Aptos Narrow"/>
      <family val="2"/>
      <scheme val="minor"/>
    </font>
    <font>
      <b/>
      <sz val="12"/>
      <color theme="0"/>
      <name val="Aptos Narrow"/>
      <family val="2"/>
      <scheme val="minor"/>
    </font>
    <font>
      <b/>
      <i/>
      <sz val="12"/>
      <color theme="0"/>
      <name val="Aptos Narrow"/>
      <family val="2"/>
      <scheme val="minor"/>
    </font>
    <font>
      <b/>
      <sz val="10"/>
      <color theme="1"/>
      <name val="Arial Narrow"/>
      <family val="2"/>
    </font>
    <font>
      <i/>
      <sz val="8"/>
      <color theme="1"/>
      <name val="Arial Narrow"/>
      <family val="2"/>
    </font>
    <font>
      <b/>
      <i/>
      <sz val="8"/>
      <color theme="1"/>
      <name val="Arial Narrow"/>
      <family val="2"/>
    </font>
    <font>
      <i/>
      <sz val="6"/>
      <color theme="1" tint="0.34998626667073579"/>
      <name val="Arial Narrow"/>
      <family val="2"/>
    </font>
    <font>
      <sz val="6"/>
      <color theme="1" tint="0.34998626667073579"/>
      <name val="Arial Narrow"/>
      <family val="2"/>
    </font>
    <font>
      <sz val="5"/>
      <color theme="1"/>
      <name val="Arial Narrow"/>
      <family val="2"/>
    </font>
    <font>
      <sz val="8"/>
      <color theme="1"/>
      <name val="Arial"/>
      <family val="2"/>
    </font>
    <font>
      <b/>
      <sz val="8"/>
      <color theme="1"/>
      <name val="Arial"/>
      <family val="2"/>
    </font>
    <font>
      <sz val="6"/>
      <color theme="1"/>
      <name val="Arial"/>
      <family val="2"/>
    </font>
    <font>
      <sz val="8"/>
      <color theme="0"/>
      <name val="Arial"/>
      <family val="2"/>
    </font>
    <font>
      <b/>
      <sz val="10"/>
      <color theme="1"/>
      <name val="Arial"/>
      <family val="2"/>
    </font>
    <font>
      <sz val="10"/>
      <color theme="1"/>
      <name val="Arial"/>
      <family val="2"/>
    </font>
    <font>
      <i/>
      <sz val="6"/>
      <color theme="1" tint="0.34998626667073579"/>
      <name val="Arial"/>
      <family val="2"/>
    </font>
    <font>
      <i/>
      <sz val="6"/>
      <color theme="1"/>
      <name val="Arial"/>
      <family val="2"/>
    </font>
    <font>
      <sz val="10"/>
      <color rgb="FF000000"/>
      <name val="Arial"/>
      <family val="2"/>
    </font>
    <font>
      <sz val="9"/>
      <color theme="1"/>
      <name val="Arial"/>
      <family val="2"/>
    </font>
    <font>
      <b/>
      <sz val="6"/>
      <color theme="0"/>
      <name val="Arial"/>
      <family val="2"/>
    </font>
    <font>
      <sz val="6"/>
      <color theme="0"/>
      <name val="Arial"/>
      <family val="2"/>
    </font>
    <font>
      <b/>
      <sz val="9"/>
      <color theme="1"/>
      <name val="Arial"/>
      <family val="2"/>
    </font>
    <font>
      <i/>
      <sz val="7"/>
      <color theme="1"/>
      <name val="Arial"/>
      <family val="2"/>
    </font>
    <font>
      <sz val="7"/>
      <color theme="1"/>
      <name val="Arial"/>
      <family val="2"/>
    </font>
    <font>
      <sz val="5"/>
      <color theme="1"/>
      <name val="Arial"/>
      <family val="2"/>
    </font>
    <font>
      <i/>
      <sz val="6"/>
      <color theme="1" tint="0.499984740745262"/>
      <name val="Arial"/>
      <family val="2"/>
    </font>
    <font>
      <i/>
      <sz val="9"/>
      <color theme="1"/>
      <name val="Arial"/>
      <family val="2"/>
    </font>
    <font>
      <sz val="12"/>
      <color theme="1"/>
      <name val="Arial"/>
      <family val="2"/>
    </font>
    <font>
      <b/>
      <sz val="10"/>
      <color theme="0"/>
      <name val="Arial"/>
      <family val="2"/>
    </font>
    <font>
      <i/>
      <sz val="10"/>
      <color theme="1"/>
      <name val="Arial"/>
      <family val="2"/>
    </font>
    <font>
      <sz val="8"/>
      <color theme="1" tint="0.34998626667073579"/>
      <name val="Arial Narrow"/>
      <family val="2"/>
    </font>
    <font>
      <i/>
      <sz val="8"/>
      <color theme="1" tint="0.34998626667073579"/>
      <name val="Arial Narrow"/>
      <family val="2"/>
    </font>
    <font>
      <i/>
      <sz val="10"/>
      <color theme="1" tint="0.34998626667073579"/>
      <name val="Arial"/>
      <family val="2"/>
    </font>
    <font>
      <i/>
      <sz val="7"/>
      <color theme="1" tint="0.34998626667073579"/>
      <name val="Arial Narrow"/>
      <family val="2"/>
    </font>
    <font>
      <b/>
      <sz val="8"/>
      <color rgb="FFFF0000"/>
      <name val="Arial"/>
      <family val="2"/>
    </font>
    <font>
      <b/>
      <sz val="10"/>
      <color rgb="FFFF0000"/>
      <name val="Arial"/>
      <family val="2"/>
    </font>
    <font>
      <sz val="6"/>
      <name val="Arial"/>
      <family val="2"/>
    </font>
    <font>
      <b/>
      <sz val="8"/>
      <name val="Arial Narrow"/>
      <family val="2"/>
    </font>
    <font>
      <i/>
      <sz val="8"/>
      <color theme="1"/>
      <name val="Arial"/>
      <family val="2"/>
    </font>
    <font>
      <b/>
      <i/>
      <sz val="10"/>
      <color theme="0"/>
      <name val="Arial"/>
      <family val="2"/>
    </font>
    <font>
      <b/>
      <sz val="7"/>
      <color theme="0"/>
      <name val="Arial"/>
      <family val="2"/>
    </font>
    <font>
      <b/>
      <sz val="6"/>
      <color theme="1"/>
      <name val="Arial"/>
      <family val="2"/>
    </font>
    <font>
      <b/>
      <i/>
      <sz val="6"/>
      <color theme="1"/>
      <name val="Arial"/>
      <family val="2"/>
    </font>
    <font>
      <sz val="6"/>
      <name val="Arial Narrow"/>
      <family val="2"/>
    </font>
    <font>
      <b/>
      <sz val="10"/>
      <color rgb="FF0A0A0A"/>
      <name val="Arial"/>
      <family val="2"/>
    </font>
    <font>
      <b/>
      <sz val="10"/>
      <color rgb="FF0070C0"/>
      <name val="Arial"/>
      <family val="2"/>
    </font>
    <font>
      <sz val="10"/>
      <color theme="1"/>
      <name val="Wingdings 2"/>
      <family val="1"/>
      <charset val="2"/>
    </font>
    <font>
      <sz val="10"/>
      <color theme="1"/>
      <name val="Wingdings"/>
      <charset val="2"/>
    </font>
    <font>
      <i/>
      <sz val="9"/>
      <color theme="1"/>
      <name val="Arial Narrow"/>
      <family val="2"/>
    </font>
    <font>
      <b/>
      <sz val="16"/>
      <color theme="1"/>
      <name val="Arial"/>
      <family val="2"/>
    </font>
    <font>
      <b/>
      <sz val="8"/>
      <color rgb="FF0070C0"/>
      <name val="Arial Narrow"/>
      <family val="2"/>
    </font>
    <font>
      <b/>
      <sz val="9"/>
      <color theme="1"/>
      <name val="Arial Narrow"/>
      <family val="2"/>
    </font>
    <font>
      <b/>
      <i/>
      <sz val="10"/>
      <color theme="1"/>
      <name val="Arial Narrow"/>
      <family val="2"/>
    </font>
    <font>
      <sz val="16"/>
      <color theme="1"/>
      <name val="Arial"/>
      <family val="2"/>
    </font>
    <font>
      <b/>
      <sz val="6"/>
      <name val="Arial"/>
      <family val="2"/>
    </font>
    <font>
      <b/>
      <i/>
      <sz val="9"/>
      <color theme="1"/>
      <name val="Arial Narrow"/>
      <family val="2"/>
    </font>
    <font>
      <b/>
      <sz val="10"/>
      <name val="Arial"/>
      <family val="2"/>
    </font>
    <font>
      <i/>
      <sz val="10"/>
      <color theme="1"/>
      <name val="Arial Narrow"/>
      <family val="2"/>
    </font>
    <font>
      <i/>
      <sz val="10"/>
      <color rgb="FF000000"/>
      <name val="Arial Narrow"/>
      <family val="2"/>
    </font>
    <font>
      <sz val="11"/>
      <color theme="1"/>
      <name val="Arial"/>
      <family val="2"/>
    </font>
    <font>
      <sz val="12"/>
      <color theme="0"/>
      <name val="Aptos Narrow"/>
      <family val="2"/>
      <scheme val="minor"/>
    </font>
    <font>
      <b/>
      <sz val="6"/>
      <color theme="1" tint="0.34998626667073579"/>
      <name val="Arial Narrow"/>
      <family val="2"/>
    </font>
    <font>
      <b/>
      <sz val="11"/>
      <color theme="1"/>
      <name val="Arial"/>
      <family val="2"/>
    </font>
    <font>
      <b/>
      <sz val="10"/>
      <color rgb="FF002060"/>
      <name val="Arial"/>
      <family val="2"/>
    </font>
    <font>
      <b/>
      <sz val="10"/>
      <color theme="4"/>
      <name val="Arial"/>
      <family val="2"/>
    </font>
    <font>
      <sz val="12"/>
      <name val="Aptos Narrow"/>
      <family val="2"/>
      <scheme val="minor"/>
    </font>
    <font>
      <b/>
      <sz val="12"/>
      <name val="Aptos Narrow"/>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1"/>
        <bgColor indexed="64"/>
      </patternFill>
    </fill>
    <fill>
      <patternFill patternType="solid">
        <fgColor theme="2" tint="-0.749992370372631"/>
        <bgColor indexed="64"/>
      </patternFill>
    </fill>
    <fill>
      <patternFill patternType="solid">
        <fgColor theme="1" tint="0.499984740745262"/>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00B050"/>
        <bgColor indexed="64"/>
      </patternFill>
    </fill>
  </fills>
  <borders count="5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top/>
      <bottom style="hair">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top/>
      <bottom style="double">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Dashed">
        <color indexed="64"/>
      </bottom>
      <diagonal/>
    </border>
    <border>
      <left/>
      <right/>
      <top style="thin">
        <color indexed="64"/>
      </top>
      <bottom style="mediumDash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1" fillId="0" borderId="0"/>
  </cellStyleXfs>
  <cellXfs count="433">
    <xf numFmtId="0" fontId="0" fillId="0" borderId="0" xfId="0"/>
    <xf numFmtId="0" fontId="3" fillId="0" borderId="0" xfId="0" applyFont="1" applyAlignment="1">
      <alignment vertical="center"/>
    </xf>
    <xf numFmtId="0" fontId="7" fillId="0" borderId="0" xfId="0" applyFont="1" applyAlignment="1">
      <alignment vertical="center"/>
    </xf>
    <xf numFmtId="0" fontId="11" fillId="0" borderId="0" xfId="1" applyAlignment="1">
      <alignment horizontal="center" vertical="center"/>
    </xf>
    <xf numFmtId="0" fontId="0" fillId="0" borderId="0" xfId="0" applyAlignment="1">
      <alignment horizontal="center" vertical="center"/>
    </xf>
    <xf numFmtId="0" fontId="0" fillId="0" borderId="0" xfId="0" applyAlignment="1">
      <alignment vertical="center"/>
    </xf>
    <xf numFmtId="0" fontId="13" fillId="4" borderId="0" xfId="1" applyFont="1" applyFill="1" applyAlignment="1">
      <alignment horizontal="center" vertical="center"/>
    </xf>
    <xf numFmtId="0" fontId="1" fillId="4" borderId="0" xfId="0" applyFont="1" applyFill="1" applyAlignment="1">
      <alignment horizontal="center" vertical="center" wrapText="1"/>
    </xf>
    <xf numFmtId="0" fontId="1" fillId="4" borderId="0" xfId="0" applyFont="1" applyFill="1" applyAlignment="1">
      <alignment vertical="center" wrapText="1"/>
    </xf>
    <xf numFmtId="0" fontId="6" fillId="0" borderId="0" xfId="0" applyFont="1" applyAlignment="1">
      <alignment vertical="center"/>
    </xf>
    <xf numFmtId="0" fontId="10" fillId="0" borderId="0" xfId="0" applyFont="1" applyAlignment="1">
      <alignment vertical="center"/>
    </xf>
    <xf numFmtId="0" fontId="20" fillId="0" borderId="0" xfId="0" applyFont="1" applyAlignment="1">
      <alignment vertical="center"/>
    </xf>
    <xf numFmtId="0" fontId="16" fillId="0" borderId="0" xfId="0" applyFont="1" applyAlignment="1">
      <alignment vertical="center"/>
    </xf>
    <xf numFmtId="0" fontId="21" fillId="0" borderId="0" xfId="0" applyFont="1" applyAlignment="1">
      <alignment vertical="center"/>
    </xf>
    <xf numFmtId="0" fontId="21" fillId="0" borderId="0" xfId="0" applyFont="1" applyAlignment="1">
      <alignment horizontal="centerContinuous" vertical="center"/>
    </xf>
    <xf numFmtId="0" fontId="24" fillId="4" borderId="16" xfId="0" applyFont="1" applyFill="1" applyBorder="1" applyAlignment="1">
      <alignment horizontal="centerContinuous" vertical="center"/>
    </xf>
    <xf numFmtId="0" fontId="24" fillId="4" borderId="38" xfId="0" applyFont="1" applyFill="1" applyBorder="1" applyAlignment="1">
      <alignment horizontal="centerContinuous" vertical="center"/>
    </xf>
    <xf numFmtId="0" fontId="25" fillId="0" borderId="0" xfId="0" applyFont="1" applyAlignment="1">
      <alignment vertical="center"/>
    </xf>
    <xf numFmtId="0" fontId="25" fillId="0" borderId="0" xfId="0" applyFont="1" applyAlignment="1">
      <alignment horizontal="left" vertical="center"/>
    </xf>
    <xf numFmtId="0" fontId="26" fillId="0" borderId="0" xfId="0" applyFont="1" applyAlignment="1">
      <alignment vertical="center"/>
    </xf>
    <xf numFmtId="0" fontId="29" fillId="0" borderId="0" xfId="0" applyFont="1" applyAlignment="1" applyProtection="1">
      <alignment horizontal="right" vertical="center"/>
      <protection hidden="1"/>
    </xf>
    <xf numFmtId="0" fontId="26" fillId="0" borderId="0" xfId="0" applyFont="1" applyAlignment="1">
      <alignment horizontal="left" vertical="center"/>
    </xf>
    <xf numFmtId="0" fontId="23" fillId="0" borderId="0" xfId="0" applyFont="1" applyAlignment="1">
      <alignment vertical="center"/>
    </xf>
    <xf numFmtId="0" fontId="26" fillId="0" borderId="0" xfId="0" applyFont="1" applyAlignment="1">
      <alignment vertical="center" wrapText="1"/>
    </xf>
    <xf numFmtId="0" fontId="23" fillId="0" borderId="0" xfId="0" applyFont="1" applyAlignment="1">
      <alignment horizontal="left" vertical="center"/>
    </xf>
    <xf numFmtId="0" fontId="23" fillId="0" borderId="0" xfId="0" applyFont="1" applyAlignment="1">
      <alignment vertical="center" wrapText="1"/>
    </xf>
    <xf numFmtId="0" fontId="28" fillId="0" borderId="0" xfId="0" applyFont="1" applyAlignment="1">
      <alignment vertical="center"/>
    </xf>
    <xf numFmtId="0" fontId="24" fillId="4" borderId="8" xfId="0" applyFont="1" applyFill="1" applyBorder="1" applyAlignment="1">
      <alignment horizontal="centerContinuous" vertical="center"/>
    </xf>
    <xf numFmtId="0" fontId="24" fillId="4" borderId="44" xfId="0" applyFont="1" applyFill="1" applyBorder="1" applyAlignment="1">
      <alignment horizontal="centerContinuous" vertical="center"/>
    </xf>
    <xf numFmtId="0" fontId="31" fillId="0" borderId="0" xfId="0" applyFont="1" applyAlignment="1">
      <alignment horizontal="centerContinuous" vertical="center"/>
    </xf>
    <xf numFmtId="0" fontId="32" fillId="0" borderId="0" xfId="0" applyFont="1" applyAlignment="1">
      <alignment horizontal="centerContinuous" vertical="center"/>
    </xf>
    <xf numFmtId="0" fontId="33" fillId="0" borderId="0" xfId="0" applyFont="1" applyAlignment="1">
      <alignment horizontal="left" vertical="center"/>
    </xf>
    <xf numFmtId="0" fontId="33" fillId="0" borderId="0" xfId="0" applyFont="1" applyAlignment="1">
      <alignment vertical="center"/>
    </xf>
    <xf numFmtId="0" fontId="33" fillId="0" borderId="0" xfId="0" applyFont="1" applyAlignment="1">
      <alignment horizontal="right" vertical="center"/>
    </xf>
    <xf numFmtId="0" fontId="30" fillId="0" borderId="0" xfId="0" applyFont="1" applyAlignment="1">
      <alignment vertical="center"/>
    </xf>
    <xf numFmtId="0" fontId="30" fillId="0" borderId="0" xfId="0" applyFont="1" applyAlignment="1">
      <alignment horizontal="left" vertical="center"/>
    </xf>
    <xf numFmtId="0" fontId="36" fillId="0" borderId="0" xfId="0" applyFont="1" applyAlignment="1">
      <alignment horizontal="left" vertical="center"/>
    </xf>
    <xf numFmtId="0" fontId="36" fillId="0" borderId="0" xfId="0" applyFont="1" applyAlignment="1">
      <alignment vertical="center"/>
    </xf>
    <xf numFmtId="0" fontId="3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right" vertical="center"/>
    </xf>
    <xf numFmtId="0" fontId="39" fillId="0" borderId="0" xfId="0" applyFont="1" applyAlignment="1">
      <alignment horizontal="centerContinuous" vertical="center"/>
    </xf>
    <xf numFmtId="0" fontId="40" fillId="4" borderId="15" xfId="0" applyFont="1" applyFill="1" applyBorder="1" applyAlignment="1">
      <alignment horizontal="centerContinuous" vertical="center"/>
    </xf>
    <xf numFmtId="0" fontId="26" fillId="0" borderId="39" xfId="0" applyFont="1" applyBorder="1" applyAlignment="1">
      <alignment horizontal="center" vertical="center"/>
    </xf>
    <xf numFmtId="0" fontId="26" fillId="0" borderId="22" xfId="0" applyFont="1" applyBorder="1" applyAlignment="1">
      <alignment horizontal="center" vertical="center"/>
    </xf>
    <xf numFmtId="0" fontId="30" fillId="0" borderId="39" xfId="0" applyFont="1" applyBorder="1" applyAlignment="1">
      <alignment horizontal="center" vertical="center"/>
    </xf>
    <xf numFmtId="0" fontId="30" fillId="0" borderId="22" xfId="0" applyFont="1" applyBorder="1" applyAlignment="1">
      <alignment horizontal="center" vertical="center"/>
    </xf>
    <xf numFmtId="0" fontId="42" fillId="0" borderId="49" xfId="0" applyFont="1" applyBorder="1" applyAlignment="1">
      <alignment vertical="center"/>
    </xf>
    <xf numFmtId="0" fontId="42" fillId="0" borderId="48" xfId="0" applyFont="1" applyBorder="1" applyAlignment="1">
      <alignment vertical="center"/>
    </xf>
    <xf numFmtId="0" fontId="30" fillId="0" borderId="23" xfId="0" applyFont="1" applyBorder="1" applyAlignment="1">
      <alignment horizontal="center" vertical="center"/>
    </xf>
    <xf numFmtId="0" fontId="30" fillId="0" borderId="21" xfId="0" applyFont="1" applyBorder="1" applyAlignment="1">
      <alignment horizontal="center" vertical="center"/>
    </xf>
    <xf numFmtId="0" fontId="26" fillId="0" borderId="23" xfId="0" applyFont="1" applyBorder="1" applyAlignment="1">
      <alignment horizontal="center" vertical="center"/>
    </xf>
    <xf numFmtId="0" fontId="40" fillId="4" borderId="7" xfId="0" applyFont="1" applyFill="1" applyBorder="1" applyAlignment="1">
      <alignment horizontal="centerContinuous" vertical="center"/>
    </xf>
    <xf numFmtId="0" fontId="25" fillId="7" borderId="39"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23" xfId="0" applyFont="1" applyFill="1" applyBorder="1" applyAlignment="1">
      <alignment horizontal="center" vertical="center"/>
    </xf>
    <xf numFmtId="0" fontId="26" fillId="0" borderId="21" xfId="0" applyFont="1" applyBorder="1" applyAlignment="1">
      <alignment horizontal="center" vertical="center"/>
    </xf>
    <xf numFmtId="0" fontId="26" fillId="0" borderId="37" xfId="0" applyFont="1" applyBorder="1" applyAlignment="1">
      <alignment horizontal="center" vertical="center"/>
    </xf>
    <xf numFmtId="0" fontId="30" fillId="0" borderId="0" xfId="0" applyFont="1" applyAlignment="1">
      <alignment horizontal="center" vertical="center"/>
    </xf>
    <xf numFmtId="0" fontId="26" fillId="0" borderId="1" xfId="0" applyFont="1" applyBorder="1" applyAlignment="1">
      <alignment vertical="center"/>
    </xf>
    <xf numFmtId="0" fontId="25" fillId="0" borderId="0" xfId="0" applyFont="1" applyAlignment="1">
      <alignment horizontal="center" vertical="center"/>
    </xf>
    <xf numFmtId="0" fontId="26" fillId="4" borderId="0" xfId="0" applyFont="1" applyFill="1" applyAlignment="1">
      <alignment vertical="center"/>
    </xf>
    <xf numFmtId="0" fontId="25" fillId="4" borderId="0" xfId="0" applyFont="1" applyFill="1" applyAlignment="1">
      <alignment horizontal="right" vertical="center"/>
    </xf>
    <xf numFmtId="0" fontId="25" fillId="4" borderId="0" xfId="0" applyFont="1" applyFill="1" applyAlignment="1">
      <alignment vertical="center"/>
    </xf>
    <xf numFmtId="0" fontId="25" fillId="4" borderId="0" xfId="0" applyFont="1" applyFill="1" applyAlignment="1">
      <alignment horizontal="center" vertical="center"/>
    </xf>
    <xf numFmtId="0" fontId="26" fillId="0" borderId="20" xfId="0" applyFont="1" applyBorder="1" applyAlignment="1">
      <alignment vertical="center"/>
    </xf>
    <xf numFmtId="0" fontId="25" fillId="0" borderId="20" xfId="0" applyFont="1" applyBorder="1" applyAlignment="1">
      <alignment horizontal="center" vertical="center"/>
    </xf>
    <xf numFmtId="0" fontId="30" fillId="3" borderId="39" xfId="0" applyFont="1" applyFill="1" applyBorder="1" applyAlignment="1">
      <alignment horizontal="center" vertical="center"/>
    </xf>
    <xf numFmtId="0" fontId="30" fillId="3" borderId="22" xfId="0" applyFont="1" applyFill="1" applyBorder="1" applyAlignment="1">
      <alignment horizontal="center" vertical="center"/>
    </xf>
    <xf numFmtId="0" fontId="26" fillId="0" borderId="29" xfId="0" applyFont="1" applyBorder="1" applyAlignment="1">
      <alignment vertical="center"/>
    </xf>
    <xf numFmtId="0" fontId="26" fillId="0" borderId="32" xfId="0" applyFont="1" applyBorder="1" applyAlignment="1">
      <alignment vertical="center"/>
    </xf>
    <xf numFmtId="0" fontId="26" fillId="0" borderId="36" xfId="0" applyFont="1" applyBorder="1" applyAlignment="1">
      <alignment vertical="center"/>
    </xf>
    <xf numFmtId="0" fontId="26" fillId="0" borderId="18" xfId="0" applyFont="1" applyBorder="1" applyAlignment="1">
      <alignment horizontal="center" vertical="center"/>
    </xf>
    <xf numFmtId="0" fontId="30" fillId="3" borderId="23" xfId="0" applyFont="1" applyFill="1" applyBorder="1" applyAlignment="1">
      <alignment horizontal="center" vertical="center"/>
    </xf>
    <xf numFmtId="0" fontId="25" fillId="2" borderId="5" xfId="0" applyFont="1" applyFill="1" applyBorder="1" applyAlignment="1">
      <alignment vertical="center"/>
    </xf>
    <xf numFmtId="0" fontId="25" fillId="2" borderId="2" xfId="0" applyFont="1" applyFill="1" applyBorder="1" applyAlignment="1">
      <alignment vertical="center"/>
    </xf>
    <xf numFmtId="0" fontId="26" fillId="0" borderId="39" xfId="0" applyFont="1" applyBorder="1" applyAlignment="1" applyProtection="1">
      <alignment horizontal="center" vertical="center"/>
      <protection locked="0"/>
    </xf>
    <xf numFmtId="0" fontId="26" fillId="0" borderId="22" xfId="0" applyFont="1" applyBorder="1" applyAlignment="1" applyProtection="1">
      <alignment horizontal="center" vertical="center"/>
      <protection locked="0"/>
    </xf>
    <xf numFmtId="0" fontId="26" fillId="0" borderId="23" xfId="0" applyFont="1" applyBorder="1" applyAlignment="1" applyProtection="1">
      <alignment horizontal="center" vertical="center"/>
      <protection locked="0"/>
    </xf>
    <xf numFmtId="0" fontId="25" fillId="0" borderId="0" xfId="0" applyFont="1" applyAlignment="1" applyProtection="1">
      <alignment horizontal="left" vertical="center"/>
      <protection locked="0"/>
    </xf>
    <xf numFmtId="0" fontId="25" fillId="0" borderId="22" xfId="0" applyFont="1" applyBorder="1" applyAlignment="1" applyProtection="1">
      <alignment horizontal="center" vertical="center"/>
      <protection locked="0"/>
    </xf>
    <xf numFmtId="0" fontId="25" fillId="0" borderId="23" xfId="0" applyFont="1" applyBorder="1" applyAlignment="1" applyProtection="1">
      <alignment horizontal="center" vertical="center"/>
      <protection locked="0"/>
    </xf>
    <xf numFmtId="0" fontId="25" fillId="0" borderId="21" xfId="0" applyFont="1" applyBorder="1" applyAlignment="1" applyProtection="1">
      <alignment horizontal="center" vertical="center"/>
      <protection locked="0"/>
    </xf>
    <xf numFmtId="0" fontId="41" fillId="0" borderId="22" xfId="0" applyFont="1" applyBorder="1" applyAlignment="1" applyProtection="1">
      <alignment horizontal="center" vertical="center"/>
      <protection locked="0"/>
    </xf>
    <xf numFmtId="0" fontId="25" fillId="0" borderId="39"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6" fillId="0" borderId="0" xfId="0" applyFont="1" applyAlignment="1" applyProtection="1">
      <alignment vertical="center"/>
      <protection locked="0"/>
    </xf>
    <xf numFmtId="0" fontId="25" fillId="0" borderId="0" xfId="0" applyFont="1" applyAlignment="1" applyProtection="1">
      <alignment horizontal="right" vertical="center"/>
      <protection locked="0"/>
    </xf>
    <xf numFmtId="0" fontId="25" fillId="0" borderId="0" xfId="0" applyFont="1" applyAlignment="1" applyProtection="1">
      <alignment vertical="center"/>
      <protection locked="0"/>
    </xf>
    <xf numFmtId="0" fontId="21" fillId="3" borderId="4" xfId="0" applyFont="1" applyFill="1" applyBorder="1" applyAlignment="1">
      <alignment horizontal="center" vertical="center" wrapText="1"/>
    </xf>
    <xf numFmtId="0" fontId="26" fillId="0" borderId="19" xfId="0" applyFont="1" applyBorder="1" applyAlignment="1">
      <alignment vertical="center"/>
    </xf>
    <xf numFmtId="0" fontId="30" fillId="3" borderId="10" xfId="0" applyFont="1" applyFill="1" applyBorder="1" applyAlignment="1">
      <alignment horizontal="center" vertical="center"/>
    </xf>
    <xf numFmtId="0" fontId="30" fillId="3" borderId="21" xfId="0" applyFont="1" applyFill="1" applyBorder="1" applyAlignment="1">
      <alignment horizontal="center" vertical="center"/>
    </xf>
    <xf numFmtId="0" fontId="21" fillId="2" borderId="4" xfId="0" applyFont="1" applyFill="1" applyBorder="1" applyAlignment="1">
      <alignment horizontal="center" vertical="center" wrapText="1"/>
    </xf>
    <xf numFmtId="0" fontId="26" fillId="3" borderId="21" xfId="0" applyFont="1" applyFill="1" applyBorder="1" applyAlignment="1">
      <alignment horizontal="center" vertical="center"/>
    </xf>
    <xf numFmtId="0" fontId="26" fillId="3" borderId="39" xfId="0" applyFont="1" applyFill="1" applyBorder="1" applyAlignment="1">
      <alignment horizontal="center" vertical="center"/>
    </xf>
    <xf numFmtId="0" fontId="26" fillId="3" borderId="10" xfId="0" applyFont="1" applyFill="1" applyBorder="1" applyAlignment="1">
      <alignment horizontal="center" vertical="center"/>
    </xf>
    <xf numFmtId="0" fontId="41" fillId="3" borderId="39" xfId="0" applyFont="1" applyFill="1" applyBorder="1" applyAlignment="1">
      <alignment horizontal="center" vertical="center"/>
    </xf>
    <xf numFmtId="0" fontId="23" fillId="0" borderId="50" xfId="0" applyFont="1" applyBorder="1" applyAlignment="1">
      <alignment horizontal="center" vertical="center"/>
    </xf>
    <xf numFmtId="0" fontId="23" fillId="0" borderId="51" xfId="0" applyFont="1" applyBorder="1" applyAlignment="1">
      <alignment horizontal="center" vertical="center"/>
    </xf>
    <xf numFmtId="0" fontId="48" fillId="8" borderId="0" xfId="0" applyFont="1" applyFill="1" applyAlignment="1">
      <alignment vertical="center"/>
    </xf>
    <xf numFmtId="0" fontId="38" fillId="3" borderId="39" xfId="0" applyFont="1" applyFill="1" applyBorder="1" applyAlignment="1">
      <alignment horizontal="center" vertical="center"/>
    </xf>
    <xf numFmtId="0" fontId="47" fillId="0" borderId="0" xfId="0" applyFont="1" applyAlignment="1">
      <alignment vertical="center"/>
    </xf>
    <xf numFmtId="0" fontId="15" fillId="0" borderId="0" xfId="0" applyFont="1" applyAlignment="1">
      <alignment vertical="center"/>
    </xf>
    <xf numFmtId="0" fontId="2" fillId="0" borderId="0" xfId="0" applyFont="1" applyAlignment="1">
      <alignment vertical="center"/>
    </xf>
    <xf numFmtId="0" fontId="9" fillId="0" borderId="0" xfId="0" applyFont="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15" fillId="0" borderId="0" xfId="0" applyFont="1" applyAlignment="1">
      <alignment horizontal="center" vertical="center"/>
    </xf>
    <xf numFmtId="0" fontId="58"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58" fillId="0" borderId="0" xfId="0" applyFont="1" applyAlignment="1">
      <alignment horizontal="center" vertical="center"/>
    </xf>
    <xf numFmtId="0" fontId="58" fillId="0" borderId="0" xfId="0" applyFont="1" applyAlignment="1">
      <alignment vertical="center"/>
    </xf>
    <xf numFmtId="0" fontId="59" fillId="0" borderId="0" xfId="0" applyFont="1" applyAlignment="1">
      <alignment vertical="center"/>
    </xf>
    <xf numFmtId="0" fontId="2" fillId="0" borderId="33" xfId="0" applyFont="1" applyBorder="1" applyAlignment="1">
      <alignment vertical="center"/>
    </xf>
    <xf numFmtId="0" fontId="15" fillId="3" borderId="1" xfId="0" applyFont="1" applyFill="1" applyBorder="1" applyAlignment="1">
      <alignment vertical="center"/>
    </xf>
    <xf numFmtId="0" fontId="2" fillId="3" borderId="1" xfId="0" applyFont="1" applyFill="1" applyBorder="1" applyAlignment="1">
      <alignment vertical="center"/>
    </xf>
    <xf numFmtId="0" fontId="2" fillId="0" borderId="1" xfId="0" applyFont="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15" fillId="3" borderId="1" xfId="0" applyFont="1" applyFill="1" applyBorder="1" applyAlignment="1">
      <alignment horizontal="center" vertical="center"/>
    </xf>
    <xf numFmtId="0" fontId="61" fillId="0" borderId="0" xfId="0" applyFont="1" applyAlignment="1">
      <alignment horizontal="centerContinuous" vertical="center"/>
    </xf>
    <xf numFmtId="0" fontId="13" fillId="5" borderId="12" xfId="1" applyFont="1" applyFill="1" applyBorder="1" applyAlignment="1">
      <alignment horizontal="center" vertical="center"/>
    </xf>
    <xf numFmtId="0" fontId="11" fillId="0" borderId="12" xfId="1" quotePrefix="1" applyBorder="1" applyAlignment="1">
      <alignment horizontal="center" vertical="center"/>
    </xf>
    <xf numFmtId="0" fontId="12" fillId="3" borderId="20" xfId="1" applyFont="1" applyFill="1" applyBorder="1" applyAlignment="1">
      <alignment horizontal="center" vertical="center"/>
    </xf>
    <xf numFmtId="0" fontId="11" fillId="0" borderId="20" xfId="1" applyBorder="1" applyAlignment="1">
      <alignment horizontal="center" vertical="center"/>
    </xf>
    <xf numFmtId="0" fontId="12" fillId="3" borderId="18" xfId="1" applyFont="1" applyFill="1" applyBorder="1" applyAlignment="1">
      <alignment horizontal="center" vertical="center"/>
    </xf>
    <xf numFmtId="0" fontId="11" fillId="0" borderId="0" xfId="1" applyAlignment="1">
      <alignment vertical="center"/>
    </xf>
    <xf numFmtId="0" fontId="12" fillId="0" borderId="0" xfId="1" applyFont="1" applyAlignment="1">
      <alignment vertical="center"/>
    </xf>
    <xf numFmtId="0" fontId="13" fillId="5" borderId="9" xfId="1" applyFont="1" applyFill="1" applyBorder="1" applyAlignment="1">
      <alignment vertical="center"/>
    </xf>
    <xf numFmtId="0" fontId="13" fillId="5" borderId="12" xfId="1" applyFont="1" applyFill="1" applyBorder="1" applyAlignment="1">
      <alignment vertical="center"/>
    </xf>
    <xf numFmtId="0" fontId="11" fillId="0" borderId="12" xfId="1" quotePrefix="1" applyBorder="1" applyAlignment="1">
      <alignment vertical="center"/>
    </xf>
    <xf numFmtId="0" fontId="13" fillId="4" borderId="0" xfId="1" applyFont="1" applyFill="1" applyAlignment="1">
      <alignment vertical="center"/>
    </xf>
    <xf numFmtId="0" fontId="14" fillId="4" borderId="0" xfId="1" applyFont="1" applyFill="1" applyAlignment="1">
      <alignment vertical="center"/>
    </xf>
    <xf numFmtId="0" fontId="12" fillId="3" borderId="18" xfId="1" applyFont="1" applyFill="1" applyBorder="1" applyAlignment="1">
      <alignment vertical="center"/>
    </xf>
    <xf numFmtId="0" fontId="12" fillId="3" borderId="20" xfId="1" applyFont="1" applyFill="1" applyBorder="1" applyAlignment="1">
      <alignment vertical="center"/>
    </xf>
    <xf numFmtId="0" fontId="11" fillId="0" borderId="0" xfId="1" quotePrefix="1" applyAlignment="1">
      <alignment vertical="center"/>
    </xf>
    <xf numFmtId="0" fontId="11" fillId="0" borderId="18" xfId="1" applyBorder="1" applyAlignment="1">
      <alignment vertical="center"/>
    </xf>
    <xf numFmtId="0" fontId="11" fillId="0" borderId="20" xfId="1" applyBorder="1" applyAlignment="1">
      <alignment vertical="center"/>
    </xf>
    <xf numFmtId="0" fontId="11" fillId="0" borderId="10" xfId="1" applyBorder="1" applyAlignment="1">
      <alignment vertical="center"/>
    </xf>
    <xf numFmtId="0" fontId="64" fillId="0" borderId="0" xfId="0" applyFont="1" applyAlignment="1">
      <alignment horizontal="left" vertical="center"/>
    </xf>
    <xf numFmtId="0" fontId="64" fillId="0" borderId="0" xfId="0" applyFont="1" applyAlignment="1">
      <alignment vertical="center"/>
    </xf>
    <xf numFmtId="0" fontId="64" fillId="0" borderId="0" xfId="0" applyFont="1" applyAlignment="1">
      <alignment horizontal="right" vertical="center"/>
    </xf>
    <xf numFmtId="0" fontId="65" fillId="0" borderId="0" xfId="0" applyFont="1" applyAlignment="1">
      <alignment horizontal="centerContinuous" vertical="center"/>
    </xf>
    <xf numFmtId="0" fontId="53" fillId="0" borderId="0" xfId="0" applyFont="1" applyAlignment="1">
      <alignment horizontal="left" vertical="center"/>
    </xf>
    <xf numFmtId="0" fontId="67" fillId="0" borderId="0" xfId="0" applyFont="1" applyAlignment="1">
      <alignment vertical="center"/>
    </xf>
    <xf numFmtId="0" fontId="67" fillId="0" borderId="0" xfId="0" applyFont="1" applyAlignment="1">
      <alignment horizontal="left" vertical="center"/>
    </xf>
    <xf numFmtId="0" fontId="67" fillId="0" borderId="0" xfId="0" applyFont="1" applyAlignment="1">
      <alignment horizontal="center" vertical="center"/>
    </xf>
    <xf numFmtId="0" fontId="67" fillId="0" borderId="0" xfId="0" applyFont="1" applyAlignment="1">
      <alignment horizontal="right" vertical="center"/>
    </xf>
    <xf numFmtId="0" fontId="69" fillId="0" borderId="0" xfId="0" applyFont="1" applyAlignment="1">
      <alignment horizontal="left" vertical="center"/>
    </xf>
    <xf numFmtId="0" fontId="70" fillId="0" borderId="0" xfId="0" applyFont="1" applyAlignment="1" applyProtection="1">
      <alignment horizontal="right" vertical="center"/>
      <protection hidden="1"/>
    </xf>
    <xf numFmtId="0" fontId="69" fillId="0" borderId="0" xfId="0" applyFont="1" applyAlignment="1">
      <alignment vertical="center"/>
    </xf>
    <xf numFmtId="0" fontId="69" fillId="0" borderId="0" xfId="0" applyFont="1" applyAlignment="1">
      <alignment horizontal="right" vertical="center"/>
    </xf>
    <xf numFmtId="0" fontId="23" fillId="0" borderId="52" xfId="0" applyFont="1" applyBorder="1" applyAlignment="1" applyProtection="1">
      <alignment horizontal="center" vertical="center"/>
      <protection locked="0"/>
    </xf>
    <xf numFmtId="0" fontId="52" fillId="0" borderId="0" xfId="0" applyFont="1" applyAlignment="1" applyProtection="1">
      <alignment vertical="center"/>
      <protection locked="0"/>
    </xf>
    <xf numFmtId="0" fontId="27" fillId="0" borderId="0" xfId="0" applyFont="1" applyAlignment="1">
      <alignment vertical="center"/>
    </xf>
    <xf numFmtId="0" fontId="54" fillId="0" borderId="0" xfId="0" applyFont="1" applyAlignment="1">
      <alignment horizontal="left" vertical="center"/>
    </xf>
    <xf numFmtId="0" fontId="16" fillId="0" borderId="49" xfId="0" applyFont="1" applyBorder="1" applyAlignment="1">
      <alignment vertical="center"/>
    </xf>
    <xf numFmtId="0" fontId="43" fillId="0" borderId="49" xfId="0" applyFont="1" applyBorder="1" applyAlignment="1">
      <alignment vertical="center"/>
    </xf>
    <xf numFmtId="0" fontId="19" fillId="0" borderId="0" xfId="0" applyFont="1" applyAlignment="1">
      <alignment horizontal="left" vertical="center"/>
    </xf>
    <xf numFmtId="0" fontId="42" fillId="0" borderId="0" xfId="0" applyFont="1" applyAlignment="1">
      <alignment vertical="center"/>
    </xf>
    <xf numFmtId="0" fontId="35" fillId="0" borderId="0" xfId="0" applyFont="1" applyAlignment="1">
      <alignment horizontal="left" vertical="center"/>
    </xf>
    <xf numFmtId="0" fontId="22" fillId="0" borderId="0" xfId="0" applyFont="1" applyAlignment="1">
      <alignment vertical="center"/>
    </xf>
    <xf numFmtId="0" fontId="23" fillId="6" borderId="0" xfId="0" applyFont="1" applyFill="1" applyAlignment="1">
      <alignment vertical="center"/>
    </xf>
    <xf numFmtId="0" fontId="55" fillId="8" borderId="0" xfId="0" applyFont="1" applyFill="1" applyAlignment="1">
      <alignment vertical="center"/>
    </xf>
    <xf numFmtId="0" fontId="23" fillId="10" borderId="43" xfId="0" applyFont="1" applyFill="1" applyBorder="1" applyAlignment="1">
      <alignment vertical="center"/>
    </xf>
    <xf numFmtId="0" fontId="23" fillId="10" borderId="0" xfId="0" applyFont="1" applyFill="1" applyAlignment="1">
      <alignment vertical="center"/>
    </xf>
    <xf numFmtId="0" fontId="23" fillId="10" borderId="42" xfId="0" applyFont="1" applyFill="1" applyBorder="1" applyAlignment="1">
      <alignment vertical="center"/>
    </xf>
    <xf numFmtId="0" fontId="46" fillId="0" borderId="0" xfId="0" applyFont="1" applyAlignment="1">
      <alignment horizontal="left" vertical="center"/>
    </xf>
    <xf numFmtId="0" fontId="34" fillId="0" borderId="0" xfId="0" applyFont="1" applyAlignment="1">
      <alignment horizontal="right" vertical="center"/>
    </xf>
    <xf numFmtId="0" fontId="68" fillId="0" borderId="1" xfId="0" applyFont="1" applyBorder="1" applyAlignment="1">
      <alignment horizontal="right" vertical="center"/>
    </xf>
    <xf numFmtId="0" fontId="23" fillId="10" borderId="47" xfId="0" applyFont="1" applyFill="1" applyBorder="1" applyAlignment="1">
      <alignment vertical="center"/>
    </xf>
    <xf numFmtId="0" fontId="23" fillId="10" borderId="45" xfId="0" applyFont="1" applyFill="1" applyBorder="1" applyAlignment="1">
      <alignment vertical="center"/>
    </xf>
    <xf numFmtId="0" fontId="23" fillId="10" borderId="46" xfId="0" applyFont="1" applyFill="1" applyBorder="1" applyAlignment="1">
      <alignment vertical="center"/>
    </xf>
    <xf numFmtId="0" fontId="23" fillId="0" borderId="0" xfId="0" quotePrefix="1" applyFont="1" applyAlignment="1">
      <alignment vertical="center"/>
    </xf>
    <xf numFmtId="0" fontId="44" fillId="0" borderId="0" xfId="0" applyFont="1" applyAlignment="1">
      <alignment horizontal="left" vertical="center"/>
    </xf>
    <xf numFmtId="0" fontId="44" fillId="0" borderId="0" xfId="0" applyFont="1" applyAlignment="1" applyProtection="1">
      <alignment horizontal="left" vertical="center"/>
      <protection locked="0"/>
    </xf>
    <xf numFmtId="0" fontId="15" fillId="0" borderId="11" xfId="0" applyFont="1" applyBorder="1" applyAlignment="1">
      <alignment horizontal="left" vertical="center"/>
    </xf>
    <xf numFmtId="0" fontId="26" fillId="0" borderId="3" xfId="0" applyFont="1" applyBorder="1" applyAlignment="1">
      <alignment horizontal="left" vertical="center"/>
    </xf>
    <xf numFmtId="0" fontId="26" fillId="0" borderId="12" xfId="0" applyFont="1" applyBorder="1" applyAlignment="1">
      <alignment horizontal="left" vertical="center"/>
    </xf>
    <xf numFmtId="0" fontId="26" fillId="0" borderId="0" xfId="0" applyFont="1" applyAlignment="1">
      <alignment horizontal="left" vertical="center" wrapText="1"/>
    </xf>
    <xf numFmtId="0" fontId="45" fillId="0" borderId="0" xfId="0" applyFont="1" applyAlignment="1">
      <alignment vertical="center"/>
    </xf>
    <xf numFmtId="0" fontId="47" fillId="0" borderId="0" xfId="0" applyFont="1" applyAlignment="1">
      <alignment horizontal="left" vertical="center"/>
    </xf>
    <xf numFmtId="0" fontId="26" fillId="0" borderId="3" xfId="0" applyFont="1" applyBorder="1" applyAlignment="1">
      <alignment vertical="center"/>
    </xf>
    <xf numFmtId="0" fontId="41" fillId="0" borderId="3" xfId="0" applyFont="1" applyBorder="1" applyAlignment="1">
      <alignment horizontal="right" vertical="center"/>
    </xf>
    <xf numFmtId="0" fontId="72" fillId="0" borderId="0" xfId="1" applyFont="1" applyAlignment="1">
      <alignment vertical="center"/>
    </xf>
    <xf numFmtId="0" fontId="16" fillId="0" borderId="0" xfId="0" applyFont="1" applyAlignment="1">
      <alignment horizontal="right" vertical="center"/>
    </xf>
    <xf numFmtId="0" fontId="4" fillId="3" borderId="1" xfId="0" applyFont="1" applyFill="1" applyBorder="1" applyAlignment="1">
      <alignment horizontal="center" vertical="center" wrapText="1"/>
    </xf>
    <xf numFmtId="0" fontId="2" fillId="0" borderId="1" xfId="0" applyFont="1" applyBorder="1" applyAlignment="1" applyProtection="1">
      <alignment horizontal="center" vertical="center"/>
      <protection locked="0"/>
    </xf>
    <xf numFmtId="0" fontId="60" fillId="0" borderId="0" xfId="0" applyFont="1" applyAlignment="1">
      <alignment horizontal="left" vertical="center"/>
    </xf>
    <xf numFmtId="0" fontId="56" fillId="0" borderId="0" xfId="0" applyFont="1" applyAlignment="1">
      <alignment vertical="center"/>
    </xf>
    <xf numFmtId="0" fontId="69" fillId="0" borderId="0" xfId="0" applyFont="1" applyAlignment="1">
      <alignment horizontal="center" vertical="center"/>
    </xf>
    <xf numFmtId="0" fontId="48" fillId="8" borderId="0" xfId="0" applyFont="1" applyFill="1" applyAlignment="1">
      <alignment horizontal="center" vertical="center"/>
    </xf>
    <xf numFmtId="0" fontId="23" fillId="0" borderId="0" xfId="0" applyFont="1" applyAlignment="1">
      <alignment horizontal="center" vertical="center"/>
    </xf>
    <xf numFmtId="0" fontId="23" fillId="8" borderId="0" xfId="0" applyFont="1" applyFill="1" applyAlignment="1">
      <alignment horizontal="center" vertical="center"/>
    </xf>
    <xf numFmtId="0" fontId="19" fillId="0" borderId="0" xfId="0" applyFont="1" applyAlignment="1">
      <alignment horizontal="center" vertical="center"/>
    </xf>
    <xf numFmtId="0" fontId="55" fillId="8" borderId="0" xfId="0" applyFont="1" applyFill="1" applyAlignment="1">
      <alignment horizontal="center" vertical="center"/>
    </xf>
    <xf numFmtId="0" fontId="66" fillId="8" borderId="0" xfId="0" applyFont="1" applyFill="1" applyAlignment="1">
      <alignment horizontal="center" vertical="center"/>
    </xf>
    <xf numFmtId="0" fontId="53" fillId="0" borderId="0" xfId="0" applyFont="1" applyAlignment="1">
      <alignment horizontal="center" vertical="center"/>
    </xf>
    <xf numFmtId="0" fontId="53" fillId="8" borderId="0" xfId="0" applyFont="1" applyFill="1" applyAlignment="1">
      <alignment horizontal="center" vertical="center"/>
    </xf>
    <xf numFmtId="0" fontId="73" fillId="0" borderId="0" xfId="0" applyFont="1" applyAlignment="1">
      <alignment horizontal="center" vertical="center"/>
    </xf>
    <xf numFmtId="0" fontId="26" fillId="0" borderId="21" xfId="0" applyFont="1" applyBorder="1" applyAlignment="1" applyProtection="1">
      <alignment horizontal="center" vertical="center"/>
      <protection locked="0"/>
    </xf>
    <xf numFmtId="0" fontId="2" fillId="3" borderId="1" xfId="0" applyFont="1" applyFill="1" applyBorder="1" applyAlignment="1">
      <alignment horizontal="left" vertical="center" indent="1"/>
    </xf>
    <xf numFmtId="0" fontId="2" fillId="0" borderId="0" xfId="0" applyFont="1" applyAlignment="1">
      <alignment horizontal="left" vertical="center" indent="1"/>
    </xf>
    <xf numFmtId="0" fontId="71" fillId="0" borderId="1" xfId="0" applyFont="1" applyBorder="1" applyAlignment="1" applyProtection="1">
      <alignment vertical="center"/>
      <protection locked="0"/>
    </xf>
    <xf numFmtId="0" fontId="26" fillId="0" borderId="40" xfId="0" applyFont="1" applyBorder="1" applyAlignment="1">
      <alignment horizontal="left" vertical="center" indent="1"/>
    </xf>
    <xf numFmtId="0" fontId="26" fillId="0" borderId="27" xfId="0" applyFont="1" applyBorder="1" applyAlignment="1">
      <alignment horizontal="left" vertical="center" indent="1"/>
    </xf>
    <xf numFmtId="0" fontId="26" fillId="0" borderId="34" xfId="0" applyFont="1" applyBorder="1" applyAlignment="1">
      <alignment horizontal="left" vertical="center" indent="1"/>
    </xf>
    <xf numFmtId="0" fontId="26" fillId="0" borderId="30" xfId="0" applyFont="1" applyBorder="1" applyAlignment="1">
      <alignment horizontal="left" vertical="center" indent="1"/>
    </xf>
    <xf numFmtId="0" fontId="64" fillId="0" borderId="0" xfId="0" applyFont="1" applyAlignment="1">
      <alignment horizontal="left" vertical="center" indent="1"/>
    </xf>
    <xf numFmtId="0" fontId="12" fillId="0" borderId="0" xfId="1" applyFont="1" applyAlignment="1">
      <alignment horizontal="center" vertical="center"/>
    </xf>
    <xf numFmtId="0" fontId="77" fillId="8" borderId="0" xfId="1" applyFont="1" applyFill="1" applyAlignment="1">
      <alignment horizontal="center" vertical="center"/>
    </xf>
    <xf numFmtId="0" fontId="78" fillId="8" borderId="0" xfId="1" applyFont="1" applyFill="1" applyAlignment="1">
      <alignment horizontal="center" vertical="center"/>
    </xf>
    <xf numFmtId="0" fontId="11" fillId="4" borderId="0" xfId="1" applyFill="1" applyAlignment="1">
      <alignment vertical="center"/>
    </xf>
    <xf numFmtId="0" fontId="13" fillId="5" borderId="9" xfId="1" applyFont="1" applyFill="1" applyBorder="1" applyAlignment="1">
      <alignment horizontal="center" vertical="center"/>
    </xf>
    <xf numFmtId="0" fontId="25" fillId="0" borderId="22" xfId="0" applyFont="1" applyBorder="1" applyAlignment="1">
      <alignment horizontal="center" vertical="center"/>
    </xf>
    <xf numFmtId="0" fontId="25" fillId="0" borderId="39" xfId="0" applyFont="1" applyBorder="1" applyAlignment="1">
      <alignment horizontal="center" vertical="center"/>
    </xf>
    <xf numFmtId="0" fontId="25" fillId="0" borderId="23" xfId="0" applyFont="1" applyBorder="1" applyAlignment="1">
      <alignment horizontal="center" vertical="center"/>
    </xf>
    <xf numFmtId="0" fontId="23" fillId="0" borderId="0" xfId="0" applyFont="1" applyAlignment="1">
      <alignment horizontal="left" vertical="center"/>
    </xf>
    <xf numFmtId="0" fontId="38" fillId="3" borderId="22" xfId="0" applyFont="1" applyFill="1" applyBorder="1" applyAlignment="1">
      <alignment horizontal="center" vertical="center"/>
    </xf>
    <xf numFmtId="0" fontId="38" fillId="0" borderId="22" xfId="0" applyFont="1" applyBorder="1" applyAlignment="1">
      <alignment horizontal="center" vertical="center"/>
    </xf>
    <xf numFmtId="0" fontId="28" fillId="0" borderId="0" xfId="0" applyFont="1" applyAlignment="1">
      <alignment horizontal="right" vertical="center"/>
    </xf>
    <xf numFmtId="0" fontId="62" fillId="3" borderId="4" xfId="0" applyFont="1" applyFill="1" applyBorder="1" applyAlignment="1">
      <alignment horizontal="center" vertical="center"/>
    </xf>
    <xf numFmtId="0" fontId="41" fillId="0" borderId="22" xfId="0" applyFont="1" applyBorder="1" applyAlignment="1">
      <alignment horizontal="center" vertical="center"/>
    </xf>
    <xf numFmtId="0" fontId="25" fillId="0" borderId="4" xfId="0" applyFont="1" applyBorder="1" applyAlignment="1">
      <alignment horizontal="center" vertical="center"/>
    </xf>
    <xf numFmtId="0" fontId="25" fillId="2" borderId="6" xfId="0" applyFont="1" applyFill="1" applyBorder="1" applyAlignment="1">
      <alignment horizontal="right" vertical="center"/>
    </xf>
    <xf numFmtId="0" fontId="25" fillId="0" borderId="21" xfId="0" applyFont="1" applyBorder="1" applyAlignment="1">
      <alignment horizontal="center" vertical="center"/>
    </xf>
    <xf numFmtId="0" fontId="41" fillId="0" borderId="22" xfId="0" applyFont="1" applyBorder="1" applyAlignment="1">
      <alignment horizontal="center" vertical="center"/>
    </xf>
    <xf numFmtId="0" fontId="75" fillId="0" borderId="0" xfId="0" applyFont="1" applyAlignment="1">
      <alignment horizontal="left" vertical="top" textRotation="180"/>
    </xf>
    <xf numFmtId="0" fontId="76" fillId="0" borderId="0" xfId="0" applyFont="1" applyAlignment="1">
      <alignment horizontal="left" vertical="top" textRotation="180"/>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25" fillId="0" borderId="1" xfId="0" applyFont="1" applyBorder="1" applyAlignment="1" applyProtection="1">
      <alignment horizontal="center" vertical="center"/>
      <protection locked="0"/>
    </xf>
    <xf numFmtId="0" fontId="5" fillId="0" borderId="27" xfId="0" applyFont="1" applyBorder="1" applyAlignment="1" applyProtection="1">
      <alignment horizontal="left" vertical="center" indent="1"/>
      <protection locked="0"/>
    </xf>
    <xf numFmtId="0" fontId="5" fillId="0" borderId="29" xfId="0" applyFont="1" applyBorder="1" applyAlignment="1" applyProtection="1">
      <alignment horizontal="left" vertical="center" indent="1"/>
      <protection locked="0"/>
    </xf>
    <xf numFmtId="0" fontId="5" fillId="0" borderId="28" xfId="0" applyFont="1" applyBorder="1" applyAlignment="1" applyProtection="1">
      <alignment horizontal="left" vertical="center" indent="1"/>
      <protection locked="0"/>
    </xf>
    <xf numFmtId="0" fontId="25" fillId="0" borderId="22" xfId="0" applyFont="1" applyBorder="1" applyAlignment="1">
      <alignment horizontal="center" vertical="center"/>
    </xf>
    <xf numFmtId="0" fontId="26" fillId="0" borderId="27" xfId="0" applyFont="1" applyBorder="1" applyAlignment="1" applyProtection="1">
      <alignment horizontal="left" vertical="center" indent="1"/>
      <protection locked="0"/>
    </xf>
    <xf numFmtId="0" fontId="26" fillId="0" borderId="29" xfId="0" applyFont="1" applyBorder="1" applyAlignment="1" applyProtection="1">
      <alignment horizontal="left" vertical="center" indent="1"/>
      <protection locked="0"/>
    </xf>
    <xf numFmtId="0" fontId="26" fillId="0" borderId="28" xfId="0" applyFont="1" applyBorder="1" applyAlignment="1" applyProtection="1">
      <alignment horizontal="left" vertical="center" indent="1"/>
      <protection locked="0"/>
    </xf>
    <xf numFmtId="0" fontId="33" fillId="0" borderId="22" xfId="0" applyFont="1" applyBorder="1" applyAlignment="1" applyProtection="1">
      <alignment horizontal="center" vertical="center"/>
      <protection locked="0"/>
    </xf>
    <xf numFmtId="0" fontId="26" fillId="0" borderId="1" xfId="0" applyFont="1" applyBorder="1" applyAlignment="1" applyProtection="1">
      <alignment horizontal="left" vertical="center"/>
      <protection locked="0"/>
    </xf>
    <xf numFmtId="0" fontId="26" fillId="0" borderId="0" xfId="0" applyFont="1" applyAlignment="1" applyProtection="1">
      <alignment horizontal="left" vertical="center"/>
      <protection locked="0"/>
    </xf>
    <xf numFmtId="14" fontId="26" fillId="0" borderId="0" xfId="0" applyNumberFormat="1" applyFont="1" applyAlignment="1" applyProtection="1">
      <alignment horizontal="left" vertical="center"/>
      <protection locked="0"/>
    </xf>
    <xf numFmtId="0" fontId="38" fillId="0" borderId="22" xfId="0" applyFont="1" applyBorder="1" applyAlignment="1">
      <alignment horizontal="center" vertical="center"/>
    </xf>
    <xf numFmtId="0" fontId="22" fillId="2" borderId="4" xfId="0" applyFont="1" applyFill="1" applyBorder="1" applyAlignment="1">
      <alignment horizontal="center" vertical="center"/>
    </xf>
    <xf numFmtId="0" fontId="25"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17" xfId="0" applyFont="1" applyFill="1" applyBorder="1" applyAlignment="1">
      <alignment horizontal="center" vertical="center" wrapText="1"/>
    </xf>
    <xf numFmtId="0" fontId="25" fillId="2" borderId="0" xfId="0" applyFont="1" applyFill="1" applyAlignment="1">
      <alignment horizontal="center" vertical="center" wrapText="1"/>
    </xf>
    <xf numFmtId="0" fontId="25" fillId="2" borderId="20"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6" fillId="0" borderId="21" xfId="0" applyFont="1" applyBorder="1" applyAlignment="1">
      <alignment horizontal="left" vertical="center" indent="1"/>
    </xf>
    <xf numFmtId="0" fontId="41" fillId="0" borderId="22" xfId="0" applyFont="1" applyBorder="1" applyAlignment="1">
      <alignment horizontal="left" vertical="center" indent="2"/>
    </xf>
    <xf numFmtId="0" fontId="34" fillId="0" borderId="22" xfId="0" applyFont="1" applyBorder="1" applyAlignment="1" applyProtection="1">
      <alignment horizontal="center" vertical="center" wrapText="1"/>
      <protection locked="0"/>
    </xf>
    <xf numFmtId="0" fontId="25" fillId="0" borderId="1" xfId="0" applyFont="1" applyBorder="1" applyAlignment="1" applyProtection="1">
      <alignment horizontal="left" vertical="center"/>
      <protection locked="0"/>
    </xf>
    <xf numFmtId="0" fontId="25" fillId="0" borderId="4" xfId="0" applyFont="1" applyBorder="1" applyAlignment="1">
      <alignment horizontal="center" vertical="center"/>
    </xf>
    <xf numFmtId="0" fontId="25" fillId="0" borderId="27" xfId="0" applyFont="1" applyBorder="1" applyAlignment="1">
      <alignment horizontal="center" vertical="center"/>
    </xf>
    <xf numFmtId="0" fontId="25" fillId="0" borderId="28" xfId="0" applyFont="1" applyBorder="1" applyAlignment="1">
      <alignment horizontal="center" vertical="center"/>
    </xf>
    <xf numFmtId="0" fontId="25" fillId="2" borderId="5" xfId="0" applyFont="1" applyFill="1" applyBorder="1" applyAlignment="1">
      <alignment horizontal="right" vertical="center"/>
    </xf>
    <xf numFmtId="0" fontId="25" fillId="2" borderId="2" xfId="0" applyFont="1" applyFill="1" applyBorder="1" applyAlignment="1">
      <alignment horizontal="right" vertical="center"/>
    </xf>
    <xf numFmtId="0" fontId="25" fillId="2" borderId="6" xfId="0" applyFont="1" applyFill="1" applyBorder="1" applyAlignment="1">
      <alignment horizontal="right" vertical="center"/>
    </xf>
    <xf numFmtId="0" fontId="25" fillId="0" borderId="21" xfId="0" applyFont="1" applyBorder="1" applyAlignment="1">
      <alignment horizontal="center" vertical="center"/>
    </xf>
    <xf numFmtId="0" fontId="33" fillId="2" borderId="4" xfId="0" applyFont="1" applyFill="1" applyBorder="1" applyAlignment="1">
      <alignment horizontal="center" vertical="center" wrapText="1"/>
    </xf>
    <xf numFmtId="0" fontId="26" fillId="0" borderId="22" xfId="0" applyFont="1" applyBorder="1" applyAlignment="1">
      <alignment horizontal="left" vertical="center" indent="1"/>
    </xf>
    <xf numFmtId="0" fontId="25" fillId="2" borderId="9" xfId="0" applyFont="1" applyFill="1" applyBorder="1" applyAlignment="1">
      <alignment horizontal="center" vertical="center" wrapText="1"/>
    </xf>
    <xf numFmtId="0" fontId="25" fillId="2" borderId="18" xfId="0" applyFont="1" applyFill="1" applyBorder="1" applyAlignment="1">
      <alignment horizontal="center" vertical="center" wrapText="1"/>
    </xf>
    <xf numFmtId="0" fontId="33" fillId="0" borderId="22" xfId="0" applyFont="1" applyBorder="1" applyAlignment="1">
      <alignment horizontal="center" vertical="center"/>
    </xf>
    <xf numFmtId="0" fontId="5" fillId="2" borderId="10" xfId="0" applyFont="1" applyFill="1" applyBorder="1" applyAlignment="1">
      <alignment horizontal="center" vertical="center" wrapText="1"/>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4"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17" xfId="0" applyFont="1" applyFill="1" applyBorder="1" applyAlignment="1">
      <alignment horizontal="center" vertical="center" wrapText="1"/>
    </xf>
    <xf numFmtId="0" fontId="33" fillId="3" borderId="0" xfId="0" applyFont="1" applyFill="1" applyAlignment="1">
      <alignment horizontal="center" vertical="center" wrapText="1"/>
    </xf>
    <xf numFmtId="0" fontId="33" fillId="3" borderId="20" xfId="0" applyFont="1" applyFill="1" applyBorder="1" applyAlignment="1">
      <alignment horizontal="center" vertical="center" wrapText="1"/>
    </xf>
    <xf numFmtId="0" fontId="25" fillId="0" borderId="34" xfId="0" applyFont="1" applyBorder="1" applyAlignment="1">
      <alignment horizontal="center" vertical="center"/>
    </xf>
    <xf numFmtId="0" fontId="25" fillId="0" borderId="35" xfId="0" applyFont="1" applyBorder="1" applyAlignment="1">
      <alignment horizontal="center" vertical="center"/>
    </xf>
    <xf numFmtId="0" fontId="25" fillId="0" borderId="40" xfId="0" applyFont="1" applyBorder="1" applyAlignment="1">
      <alignment horizontal="center" vertical="center"/>
    </xf>
    <xf numFmtId="0" fontId="25" fillId="0" borderId="41" xfId="0" applyFont="1" applyBorder="1" applyAlignment="1">
      <alignment horizontal="center" vertical="center"/>
    </xf>
    <xf numFmtId="0" fontId="26" fillId="0" borderId="22" xfId="0" applyFont="1" applyBorder="1" applyAlignment="1" applyProtection="1">
      <alignment horizontal="left" vertical="center" indent="1"/>
      <protection locked="0"/>
    </xf>
    <xf numFmtId="0" fontId="25" fillId="0" borderId="23" xfId="0" applyFont="1" applyBorder="1" applyAlignment="1">
      <alignment horizontal="center" vertical="center"/>
    </xf>
    <xf numFmtId="0" fontId="33" fillId="0" borderId="21" xfId="0" applyFont="1" applyBorder="1" applyAlignment="1">
      <alignment horizontal="center" vertical="center"/>
    </xf>
    <xf numFmtId="0" fontId="33" fillId="0" borderId="23" xfId="0" applyFont="1" applyBorder="1" applyAlignment="1">
      <alignment horizontal="center" vertical="center"/>
    </xf>
    <xf numFmtId="0" fontId="26" fillId="0" borderId="1" xfId="0" applyFont="1" applyBorder="1" applyAlignment="1" applyProtection="1">
      <alignment horizontal="center" vertical="center"/>
      <protection locked="0"/>
    </xf>
    <xf numFmtId="0" fontId="26" fillId="0" borderId="23" xfId="0" applyFont="1" applyBorder="1" applyAlignment="1">
      <alignment horizontal="left" vertical="center" indent="1"/>
    </xf>
    <xf numFmtId="0" fontId="33" fillId="3" borderId="22" xfId="0" applyFont="1" applyFill="1" applyBorder="1" applyAlignment="1">
      <alignment horizontal="center" vertical="center"/>
    </xf>
    <xf numFmtId="0" fontId="25" fillId="0" borderId="1" xfId="0" applyFont="1" applyBorder="1" applyAlignment="1">
      <alignment horizontal="center" vertical="center"/>
    </xf>
    <xf numFmtId="0" fontId="33"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25" fillId="0" borderId="39" xfId="0" applyFont="1" applyBorder="1" applyAlignment="1">
      <alignment horizontal="center" vertical="center"/>
    </xf>
    <xf numFmtId="0" fontId="43" fillId="0" borderId="49" xfId="0" applyFont="1" applyBorder="1" applyAlignment="1">
      <alignment horizontal="left" vertical="center"/>
    </xf>
    <xf numFmtId="0" fontId="38" fillId="3" borderId="22" xfId="0" applyFont="1" applyFill="1" applyBorder="1" applyAlignment="1">
      <alignment horizontal="center" vertical="center"/>
    </xf>
    <xf numFmtId="0" fontId="62" fillId="3" borderId="4" xfId="0" applyFont="1" applyFill="1" applyBorder="1" applyAlignment="1">
      <alignment horizontal="center" vertical="center"/>
    </xf>
    <xf numFmtId="0" fontId="63" fillId="3" borderId="11" xfId="0" applyFont="1" applyFill="1" applyBorder="1" applyAlignment="1">
      <alignment horizontal="center" vertical="center" wrapText="1"/>
    </xf>
    <xf numFmtId="0" fontId="63" fillId="3" borderId="3" xfId="0" applyFont="1" applyFill="1" applyBorder="1" applyAlignment="1">
      <alignment horizontal="center" vertical="center" wrapText="1"/>
    </xf>
    <xf numFmtId="0" fontId="63" fillId="3" borderId="12" xfId="0" applyFont="1" applyFill="1" applyBorder="1" applyAlignment="1">
      <alignment horizontal="center" vertical="center" wrapText="1"/>
    </xf>
    <xf numFmtId="0" fontId="63" fillId="3" borderId="13" xfId="0" applyFont="1" applyFill="1" applyBorder="1" applyAlignment="1">
      <alignment horizontal="center" vertical="center" wrapText="1"/>
    </xf>
    <xf numFmtId="0" fontId="63" fillId="3" borderId="1" xfId="0" applyFont="1" applyFill="1" applyBorder="1" applyAlignment="1">
      <alignment horizontal="center" vertical="center" wrapText="1"/>
    </xf>
    <xf numFmtId="0" fontId="63" fillId="3" borderId="14" xfId="0" applyFont="1" applyFill="1" applyBorder="1" applyAlignment="1">
      <alignment horizontal="center" vertical="center" wrapText="1"/>
    </xf>
    <xf numFmtId="0" fontId="26" fillId="0" borderId="39" xfId="0" applyFont="1" applyBorder="1" applyAlignment="1" applyProtection="1">
      <alignment horizontal="left" vertical="center"/>
      <protection locked="0"/>
    </xf>
    <xf numFmtId="0" fontId="25" fillId="0" borderId="1" xfId="0" applyFont="1" applyBorder="1" applyAlignment="1" applyProtection="1">
      <alignment horizontal="left" vertical="center" wrapText="1"/>
      <protection locked="0"/>
    </xf>
    <xf numFmtId="0" fontId="26" fillId="0" borderId="23" xfId="0" applyFont="1" applyBorder="1" applyAlignment="1" applyProtection="1">
      <alignment horizontal="left" vertical="center" indent="1"/>
      <protection locked="0"/>
    </xf>
    <xf numFmtId="0" fontId="33" fillId="3" borderId="4" xfId="0" applyFont="1" applyFill="1" applyBorder="1" applyAlignment="1">
      <alignment horizontal="center" vertical="center" wrapText="1"/>
    </xf>
    <xf numFmtId="0" fontId="18" fillId="0" borderId="3" xfId="0" applyFont="1" applyBorder="1" applyAlignment="1">
      <alignment horizontal="center" vertical="center"/>
    </xf>
    <xf numFmtId="0" fontId="26" fillId="0" borderId="21" xfId="0" applyFont="1" applyBorder="1" applyAlignment="1" applyProtection="1">
      <alignment horizontal="left" vertical="center" indent="1"/>
      <protection locked="0"/>
    </xf>
    <xf numFmtId="0" fontId="28" fillId="0" borderId="0" xfId="0" applyFont="1" applyAlignment="1">
      <alignment horizontal="right" vertical="center"/>
    </xf>
    <xf numFmtId="0" fontId="25" fillId="0" borderId="1" xfId="0" applyFont="1" applyBorder="1" applyAlignment="1" applyProtection="1">
      <alignment vertical="center"/>
      <protection locked="0"/>
    </xf>
    <xf numFmtId="14" fontId="25" fillId="0" borderId="1" xfId="0" applyNumberFormat="1" applyFont="1" applyBorder="1" applyAlignment="1" applyProtection="1">
      <alignment vertical="center"/>
      <protection locked="0"/>
    </xf>
    <xf numFmtId="0" fontId="57" fillId="0" borderId="2" xfId="0" applyFont="1" applyBorder="1" applyAlignment="1">
      <alignment horizontal="center" vertical="center"/>
    </xf>
    <xf numFmtId="0" fontId="5" fillId="0" borderId="24" xfId="0" applyFont="1" applyBorder="1" applyAlignment="1" applyProtection="1">
      <alignment horizontal="left" vertical="center" indent="1"/>
      <protection locked="0"/>
    </xf>
    <xf numFmtId="0" fontId="5" fillId="0" borderId="26" xfId="0" applyFont="1" applyBorder="1" applyAlignment="1" applyProtection="1">
      <alignment horizontal="left" vertical="center" indent="1"/>
      <protection locked="0"/>
    </xf>
    <xf numFmtId="0" fontId="5" fillId="0" borderId="25" xfId="0" applyFont="1" applyBorder="1" applyAlignment="1" applyProtection="1">
      <alignment horizontal="left" vertical="center" indent="1"/>
      <protection locked="0"/>
    </xf>
    <xf numFmtId="0" fontId="33" fillId="3" borderId="23" xfId="0" applyFont="1" applyFill="1" applyBorder="1" applyAlignment="1">
      <alignment horizontal="center" vertical="center"/>
    </xf>
    <xf numFmtId="0" fontId="41" fillId="0" borderId="22" xfId="0" applyFont="1" applyBorder="1" applyAlignment="1" applyProtection="1">
      <alignment horizontal="left" vertical="center" indent="2"/>
      <protection locked="0"/>
    </xf>
    <xf numFmtId="0" fontId="30" fillId="0" borderId="2" xfId="0" applyFont="1" applyBorder="1" applyAlignment="1" applyProtection="1">
      <alignment vertical="center"/>
      <protection locked="0"/>
    </xf>
    <xf numFmtId="0" fontId="30" fillId="0" borderId="1" xfId="0" applyFont="1" applyBorder="1" applyAlignment="1" applyProtection="1">
      <alignment vertical="center"/>
      <protection locked="0"/>
    </xf>
    <xf numFmtId="164" fontId="25" fillId="0" borderId="1" xfId="0" applyNumberFormat="1" applyFont="1" applyBorder="1" applyAlignment="1" applyProtection="1">
      <alignment vertical="center"/>
      <protection locked="0"/>
    </xf>
    <xf numFmtId="164" fontId="25" fillId="0" borderId="2" xfId="0" applyNumberFormat="1" applyFont="1" applyBorder="1" applyAlignment="1" applyProtection="1">
      <alignment vertical="center"/>
      <protection locked="0"/>
    </xf>
    <xf numFmtId="0" fontId="74" fillId="0" borderId="1" xfId="0" applyFont="1" applyBorder="1" applyAlignment="1" applyProtection="1">
      <alignment vertical="center"/>
      <protection locked="0"/>
    </xf>
    <xf numFmtId="0" fontId="50" fillId="0" borderId="24" xfId="0" applyFont="1" applyBorder="1" applyAlignment="1">
      <alignment horizontal="left" vertical="center" wrapText="1" indent="1"/>
    </xf>
    <xf numFmtId="0" fontId="50" fillId="0" borderId="26" xfId="0" applyFont="1" applyBorder="1" applyAlignment="1">
      <alignment horizontal="left" vertical="center" wrapText="1" indent="1"/>
    </xf>
    <xf numFmtId="0" fontId="50" fillId="0" borderId="25" xfId="0" applyFont="1" applyBorder="1" applyAlignment="1">
      <alignment horizontal="left" vertical="center" wrapText="1" indent="1"/>
    </xf>
    <xf numFmtId="0" fontId="50" fillId="0" borderId="27" xfId="0" applyFont="1" applyBorder="1" applyAlignment="1">
      <alignment horizontal="left" vertical="center" wrapText="1" indent="1"/>
    </xf>
    <xf numFmtId="0" fontId="50" fillId="0" borderId="29" xfId="0" applyFont="1" applyBorder="1" applyAlignment="1">
      <alignment horizontal="left" vertical="center" wrapText="1" indent="1"/>
    </xf>
    <xf numFmtId="0" fontId="50" fillId="0" borderId="28" xfId="0" applyFont="1" applyBorder="1" applyAlignment="1">
      <alignment horizontal="left" vertical="center" wrapText="1" indent="1"/>
    </xf>
    <xf numFmtId="0" fontId="50" fillId="0" borderId="30" xfId="0" applyFont="1" applyBorder="1" applyAlignment="1">
      <alignment horizontal="left" vertical="center" wrapText="1" indent="1"/>
    </xf>
    <xf numFmtId="0" fontId="50" fillId="0" borderId="32" xfId="0" applyFont="1" applyBorder="1" applyAlignment="1">
      <alignment horizontal="left" vertical="center" wrapText="1" indent="1"/>
    </xf>
    <xf numFmtId="0" fontId="50" fillId="0" borderId="31" xfId="0" applyFont="1" applyBorder="1" applyAlignment="1">
      <alignment horizontal="left" vertical="center" wrapText="1" inden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3" fillId="3" borderId="21" xfId="0" applyFont="1" applyFill="1" applyBorder="1" applyAlignment="1">
      <alignment horizontal="center" vertical="center"/>
    </xf>
    <xf numFmtId="0" fontId="25" fillId="0" borderId="2" xfId="0" quotePrefix="1" applyFont="1" applyBorder="1" applyAlignment="1" applyProtection="1">
      <alignment vertical="center"/>
      <protection locked="0"/>
    </xf>
    <xf numFmtId="0" fontId="25" fillId="0" borderId="2" xfId="0" applyFont="1" applyBorder="1" applyAlignment="1" applyProtection="1">
      <alignment vertical="center"/>
      <protection locked="0"/>
    </xf>
    <xf numFmtId="0" fontId="23" fillId="0" borderId="0" xfId="0" quotePrefix="1" applyFont="1" applyAlignment="1">
      <alignment horizontal="left" vertical="center"/>
    </xf>
    <xf numFmtId="0" fontId="23" fillId="0" borderId="0" xfId="0" applyFont="1" applyAlignment="1">
      <alignment horizontal="left" vertical="center"/>
    </xf>
    <xf numFmtId="0" fontId="33" fillId="0" borderId="39" xfId="0" applyFont="1" applyBorder="1" applyAlignment="1" applyProtection="1">
      <alignment horizontal="center" vertical="center"/>
      <protection locked="0"/>
    </xf>
    <xf numFmtId="0" fontId="34" fillId="0" borderId="23" xfId="0" applyFont="1" applyBorder="1" applyAlignment="1" applyProtection="1">
      <alignment horizontal="center" vertical="center" wrapText="1"/>
      <protection locked="0"/>
    </xf>
    <xf numFmtId="0" fontId="33" fillId="7" borderId="22" xfId="0" applyFont="1" applyFill="1" applyBorder="1" applyAlignment="1">
      <alignment horizontal="center" vertical="center"/>
    </xf>
    <xf numFmtId="0" fontId="33" fillId="0" borderId="23" xfId="0" applyFont="1" applyBorder="1" applyAlignment="1" applyProtection="1">
      <alignment horizontal="center" vertical="center"/>
      <protection locked="0"/>
    </xf>
    <xf numFmtId="0" fontId="33" fillId="7" borderId="23" xfId="0" applyFont="1" applyFill="1" applyBorder="1" applyAlignment="1">
      <alignment horizontal="center" vertical="center"/>
    </xf>
    <xf numFmtId="0" fontId="5" fillId="0" borderId="30" xfId="0" applyFont="1" applyBorder="1" applyAlignment="1" applyProtection="1">
      <alignment horizontal="left" vertical="center" indent="1"/>
      <protection locked="0"/>
    </xf>
    <xf numFmtId="0" fontId="5" fillId="0" borderId="32" xfId="0" applyFont="1" applyBorder="1" applyAlignment="1" applyProtection="1">
      <alignment horizontal="left" vertical="center" indent="1"/>
      <protection locked="0"/>
    </xf>
    <xf numFmtId="0" fontId="5" fillId="0" borderId="31" xfId="0" applyFont="1" applyBorder="1" applyAlignment="1" applyProtection="1">
      <alignment horizontal="left" vertical="center" indent="1"/>
      <protection locked="0"/>
    </xf>
    <xf numFmtId="0" fontId="26" fillId="0" borderId="39" xfId="0" applyFont="1" applyBorder="1" applyAlignment="1" applyProtection="1">
      <alignment horizontal="left" vertical="center" indent="1"/>
      <protection locked="0"/>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26" fillId="0" borderId="30" xfId="0" applyFont="1" applyBorder="1" applyAlignment="1" applyProtection="1">
      <alignment horizontal="left" vertical="center" indent="1"/>
      <protection locked="0"/>
    </xf>
    <xf numFmtId="0" fontId="26" fillId="0" borderId="32" xfId="0" applyFont="1" applyBorder="1" applyAlignment="1" applyProtection="1">
      <alignment horizontal="left" vertical="center" indent="1"/>
      <protection locked="0"/>
    </xf>
    <xf numFmtId="0" fontId="26" fillId="0" borderId="31" xfId="0" applyFont="1" applyBorder="1" applyAlignment="1" applyProtection="1">
      <alignment horizontal="left" vertical="center" indent="1"/>
      <protection locked="0"/>
    </xf>
    <xf numFmtId="0" fontId="22" fillId="3" borderId="4" xfId="0" applyFont="1" applyFill="1" applyBorder="1" applyAlignment="1">
      <alignment horizontal="center" vertical="center" wrapText="1"/>
    </xf>
    <xf numFmtId="0" fontId="37" fillId="0" borderId="3" xfId="0" applyFont="1" applyBorder="1" applyAlignment="1">
      <alignment horizontal="center" vertical="center"/>
    </xf>
    <xf numFmtId="0" fontId="38" fillId="0" borderId="22" xfId="0" applyFont="1" applyBorder="1" applyAlignment="1" applyProtection="1">
      <alignment horizontal="center" vertical="center"/>
      <protection locked="0"/>
    </xf>
    <xf numFmtId="0" fontId="51" fillId="4" borderId="5" xfId="0" applyFont="1" applyFill="1" applyBorder="1" applyAlignment="1">
      <alignment horizontal="center" vertical="center"/>
    </xf>
    <xf numFmtId="0" fontId="51" fillId="4" borderId="2" xfId="0" applyFont="1" applyFill="1" applyBorder="1" applyAlignment="1">
      <alignment horizontal="center" vertical="center"/>
    </xf>
    <xf numFmtId="0" fontId="51" fillId="4" borderId="6" xfId="0" applyFont="1" applyFill="1" applyBorder="1" applyAlignment="1">
      <alignment horizontal="center" vertical="center"/>
    </xf>
    <xf numFmtId="0" fontId="49" fillId="9" borderId="9" xfId="0" applyFont="1" applyFill="1" applyBorder="1" applyAlignment="1">
      <alignment horizontal="center" vertical="center" wrapText="1"/>
    </xf>
    <xf numFmtId="0" fontId="49" fillId="9" borderId="10"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74" fillId="0" borderId="1" xfId="0" applyFont="1" applyBorder="1" applyAlignment="1" applyProtection="1">
      <alignment horizontal="left" vertical="center" indent="1"/>
      <protection locked="0"/>
    </xf>
    <xf numFmtId="0" fontId="71" fillId="0" borderId="1" xfId="0" applyFont="1" applyBorder="1" applyAlignment="1" applyProtection="1">
      <alignment horizontal="left" vertical="center"/>
      <protection locked="0"/>
    </xf>
    <xf numFmtId="0" fontId="26" fillId="0" borderId="1" xfId="0" applyFont="1" applyBorder="1" applyAlignment="1" applyProtection="1">
      <alignment vertical="center"/>
      <protection locked="0"/>
    </xf>
    <xf numFmtId="0" fontId="26" fillId="0" borderId="1" xfId="0" applyFont="1" applyBorder="1" applyAlignment="1" applyProtection="1">
      <alignment vertical="center" wrapText="1"/>
      <protection locked="0"/>
    </xf>
    <xf numFmtId="0" fontId="33" fillId="0" borderId="21" xfId="0" applyFont="1" applyBorder="1" applyAlignment="1" applyProtection="1">
      <alignment horizontal="center" vertical="center"/>
      <protection locked="0"/>
    </xf>
    <xf numFmtId="0" fontId="50" fillId="0" borderId="24" xfId="0" applyFont="1" applyBorder="1" applyAlignment="1">
      <alignment horizontal="left" vertical="center" wrapText="1"/>
    </xf>
    <xf numFmtId="0" fontId="50" fillId="0" borderId="26" xfId="0" applyFont="1" applyBorder="1" applyAlignment="1">
      <alignment horizontal="left" vertical="center" wrapText="1"/>
    </xf>
    <xf numFmtId="0" fontId="50" fillId="0" borderId="25" xfId="0" applyFont="1" applyBorder="1" applyAlignment="1">
      <alignment horizontal="left" vertical="center" wrapText="1"/>
    </xf>
    <xf numFmtId="0" fontId="50" fillId="0" borderId="27" xfId="0" applyFont="1" applyBorder="1" applyAlignment="1">
      <alignment horizontal="left" vertical="center" wrapText="1"/>
    </xf>
    <xf numFmtId="0" fontId="50" fillId="0" borderId="29" xfId="0" applyFont="1" applyBorder="1" applyAlignment="1">
      <alignment horizontal="left" vertical="center" wrapText="1"/>
    </xf>
    <xf numFmtId="0" fontId="50" fillId="0" borderId="28" xfId="0" applyFont="1" applyBorder="1" applyAlignment="1">
      <alignment horizontal="left" vertical="center" wrapText="1"/>
    </xf>
    <xf numFmtId="0" fontId="50" fillId="0" borderId="30" xfId="0" applyFont="1" applyBorder="1" applyAlignment="1">
      <alignment horizontal="left" vertical="center" wrapText="1"/>
    </xf>
    <xf numFmtId="0" fontId="50" fillId="0" borderId="32" xfId="0" applyFont="1" applyBorder="1" applyAlignment="1">
      <alignment horizontal="left" vertical="center" wrapText="1"/>
    </xf>
    <xf numFmtId="0" fontId="50" fillId="0" borderId="31" xfId="0" applyFont="1" applyBorder="1" applyAlignment="1">
      <alignment horizontal="left" vertical="center" wrapText="1"/>
    </xf>
    <xf numFmtId="0" fontId="33" fillId="0" borderId="27" xfId="0" applyFont="1" applyBorder="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25" fillId="0" borderId="1" xfId="0" applyFont="1" applyBorder="1" applyAlignment="1" applyProtection="1">
      <alignment horizontal="left" vertical="center" indent="1"/>
      <protection locked="0"/>
    </xf>
    <xf numFmtId="0" fontId="33" fillId="0" borderId="30" xfId="0" applyFont="1" applyBorder="1" applyAlignment="1" applyProtection="1">
      <alignment horizontal="center" vertical="center"/>
      <protection locked="0"/>
    </xf>
    <xf numFmtId="0" fontId="33" fillId="0" borderId="31" xfId="0" applyFont="1" applyBorder="1" applyAlignment="1" applyProtection="1">
      <alignment horizontal="center" vertical="center"/>
      <protection locked="0"/>
    </xf>
    <xf numFmtId="0" fontId="26" fillId="0" borderId="1" xfId="0" applyFont="1" applyBorder="1" applyAlignment="1" applyProtection="1">
      <alignment horizontal="left" vertical="center" indent="1"/>
      <protection locked="0"/>
    </xf>
    <xf numFmtId="0" fontId="26" fillId="0" borderId="0" xfId="0" applyFont="1" applyAlignment="1" applyProtection="1">
      <alignment horizontal="left" vertical="center" indent="1"/>
      <protection locked="0"/>
    </xf>
    <xf numFmtId="14" fontId="26" fillId="0" borderId="0" xfId="0" applyNumberFormat="1" applyFont="1" applyAlignment="1" applyProtection="1">
      <alignment horizontal="left" vertical="center" indent="1"/>
      <protection locked="0"/>
    </xf>
    <xf numFmtId="0" fontId="25" fillId="0" borderId="1" xfId="0" applyFont="1" applyBorder="1" applyAlignment="1" applyProtection="1">
      <alignment horizontal="left" vertical="center" wrapText="1" indent="1"/>
      <protection locked="0"/>
    </xf>
    <xf numFmtId="0" fontId="33" fillId="7" borderId="39" xfId="0" applyFont="1" applyFill="1" applyBorder="1" applyAlignment="1">
      <alignment horizontal="center" vertical="center"/>
    </xf>
    <xf numFmtId="0" fontId="34" fillId="0" borderId="39" xfId="0" applyFont="1" applyBorder="1" applyAlignment="1" applyProtection="1">
      <alignment horizontal="left" vertical="center" wrapText="1" indent="1"/>
      <protection locked="0"/>
    </xf>
    <xf numFmtId="14" fontId="25" fillId="0" borderId="1" xfId="0" applyNumberFormat="1" applyFont="1" applyBorder="1" applyAlignment="1" applyProtection="1">
      <alignment horizontal="left" vertical="center" indent="1"/>
      <protection locked="0"/>
    </xf>
    <xf numFmtId="0" fontId="33" fillId="0" borderId="24" xfId="0" applyFont="1" applyBorder="1" applyAlignment="1" applyProtection="1">
      <alignment horizontal="center" vertical="center"/>
      <protection locked="0"/>
    </xf>
    <xf numFmtId="0" fontId="33" fillId="0" borderId="25" xfId="0" applyFont="1" applyBorder="1" applyAlignment="1" applyProtection="1">
      <alignment horizontal="center" vertical="center"/>
      <protection locked="0"/>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45" fillId="0" borderId="3" xfId="0" applyFont="1" applyBorder="1" applyAlignment="1">
      <alignment horizontal="left" vertical="center"/>
    </xf>
    <xf numFmtId="0" fontId="69" fillId="0" borderId="17" xfId="0" applyFont="1" applyBorder="1" applyAlignment="1">
      <alignment horizontal="left" vertical="center" wrapText="1"/>
    </xf>
    <xf numFmtId="0" fontId="69" fillId="0" borderId="0" xfId="0" applyFont="1" applyAlignment="1">
      <alignment horizontal="left" vertical="center" wrapText="1"/>
    </xf>
    <xf numFmtId="0" fontId="69" fillId="0" borderId="20" xfId="0" applyFont="1" applyBorder="1" applyAlignment="1">
      <alignment horizontal="left" vertical="center" wrapText="1"/>
    </xf>
    <xf numFmtId="0" fontId="69" fillId="0" borderId="13" xfId="0" applyFont="1" applyBorder="1" applyAlignment="1">
      <alignment horizontal="left" vertical="center" wrapText="1"/>
    </xf>
    <xf numFmtId="0" fontId="69" fillId="0" borderId="1" xfId="0" applyFont="1" applyBorder="1" applyAlignment="1">
      <alignment horizontal="left" vertical="center" wrapText="1"/>
    </xf>
    <xf numFmtId="0" fontId="69" fillId="0" borderId="14" xfId="0" applyFont="1" applyBorder="1" applyAlignment="1">
      <alignment horizontal="left" vertical="center" wrapText="1"/>
    </xf>
    <xf numFmtId="0" fontId="18" fillId="0" borderId="3" xfId="0" applyFont="1" applyBorder="1" applyAlignment="1">
      <alignment horizontal="left" vertical="center"/>
    </xf>
    <xf numFmtId="0" fontId="34" fillId="0" borderId="23" xfId="0" applyFont="1" applyBorder="1" applyAlignment="1" applyProtection="1">
      <alignment horizontal="left" vertical="center" wrapText="1" indent="1"/>
      <protection locked="0"/>
    </xf>
    <xf numFmtId="0" fontId="34" fillId="0" borderId="22" xfId="0" applyFont="1" applyBorder="1" applyAlignment="1" applyProtection="1">
      <alignment horizontal="left" vertical="center" wrapText="1" indent="1"/>
      <protection locked="0"/>
    </xf>
    <xf numFmtId="0" fontId="25" fillId="0" borderId="9" xfId="0" applyFont="1" applyBorder="1" applyAlignment="1">
      <alignment horizontal="center" vertical="center" wrapText="1"/>
    </xf>
    <xf numFmtId="0" fontId="25" fillId="0" borderId="18" xfId="0" applyFont="1" applyBorder="1" applyAlignment="1">
      <alignment horizontal="center" vertical="center" wrapText="1"/>
    </xf>
    <xf numFmtId="0" fontId="51" fillId="4" borderId="8" xfId="0" applyFont="1" applyFill="1" applyBorder="1" applyAlignment="1">
      <alignment horizontal="center" vertical="center"/>
    </xf>
    <xf numFmtId="0" fontId="22" fillId="0" borderId="4" xfId="0" applyFont="1" applyBorder="1" applyAlignment="1">
      <alignment horizontal="center" vertical="center"/>
    </xf>
    <xf numFmtId="0" fontId="5" fillId="0" borderId="1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0" xfId="0" applyFont="1" applyAlignment="1">
      <alignment horizontal="center" vertical="center" wrapText="1"/>
    </xf>
    <xf numFmtId="0" fontId="25" fillId="0" borderId="20" xfId="0" applyFont="1" applyBorder="1" applyAlignment="1">
      <alignment horizontal="center" vertical="center" wrapText="1"/>
    </xf>
    <xf numFmtId="0" fontId="33" fillId="0" borderId="10" xfId="0" applyFont="1" applyBorder="1" applyAlignment="1">
      <alignment horizontal="center" vertical="center" wrapText="1"/>
    </xf>
    <xf numFmtId="14" fontId="26" fillId="0" borderId="1" xfId="0" applyNumberFormat="1"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0" fontId="2" fillId="0" borderId="1" xfId="0" applyFont="1" applyBorder="1" applyAlignment="1" applyProtection="1">
      <alignment horizontal="left" vertical="center" indent="1"/>
      <protection locked="0"/>
    </xf>
    <xf numFmtId="0" fontId="2" fillId="0" borderId="1" xfId="0" applyFont="1" applyBorder="1" applyAlignment="1">
      <alignment horizontal="left" vertical="center" indent="1"/>
    </xf>
    <xf numFmtId="0" fontId="69" fillId="0" borderId="2" xfId="0" applyFont="1" applyBorder="1" applyAlignment="1">
      <alignment horizontal="left" vertical="center" indent="3"/>
    </xf>
    <xf numFmtId="0" fontId="2" fillId="0" borderId="2" xfId="0" applyFont="1" applyBorder="1" applyAlignment="1">
      <alignment horizontal="left" vertical="center" indent="1"/>
    </xf>
  </cellXfs>
  <cellStyles count="2">
    <cellStyle name="Normal" xfId="0" builtinId="0"/>
    <cellStyle name="Normal 2" xfId="1" xr:uid="{BF9B6989-D80E-45E7-A488-956E602A2DFC}"/>
  </cellStyles>
  <dxfs count="12">
    <dxf>
      <fill>
        <patternFill>
          <bgColor theme="7" tint="0.79998168889431442"/>
        </patternFill>
      </fill>
    </dxf>
    <dxf>
      <fill>
        <patternFill>
          <bgColor theme="6" tint="0.79998168889431442"/>
        </patternFill>
      </fill>
    </dxf>
    <dxf>
      <fill>
        <patternFill>
          <bgColor theme="2"/>
        </patternFill>
      </fill>
    </dxf>
    <dxf>
      <fill>
        <patternFill>
          <bgColor theme="2"/>
        </patternFill>
      </fill>
    </dxf>
    <dxf>
      <fill>
        <patternFill>
          <bgColor theme="6" tint="0.79998168889431442"/>
        </patternFill>
      </fill>
    </dxf>
    <dxf>
      <fill>
        <patternFill>
          <bgColor theme="5" tint="0.79998168889431442"/>
        </patternFill>
      </fill>
    </dxf>
    <dxf>
      <fill>
        <patternFill>
          <bgColor theme="2"/>
        </patternFill>
      </fill>
    </dxf>
    <dxf>
      <fill>
        <patternFill>
          <bgColor them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ctrlProps/ctrlProp1.xml><?xml version="1.0" encoding="utf-8"?>
<formControlPr xmlns="http://schemas.microsoft.com/office/spreadsheetml/2009/9/main" objectType="Radio" firstButton="1" fmlaLink="$AC$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153537</xdr:colOff>
      <xdr:row>0</xdr:row>
      <xdr:rowOff>123231</xdr:rowOff>
    </xdr:from>
    <xdr:to>
      <xdr:col>24</xdr:col>
      <xdr:colOff>267324</xdr:colOff>
      <xdr:row>3</xdr:row>
      <xdr:rowOff>244960</xdr:rowOff>
    </xdr:to>
    <xdr:pic>
      <xdr:nvPicPr>
        <xdr:cNvPr id="3" name="Picture 2">
          <a:extLst>
            <a:ext uri="{FF2B5EF4-FFF2-40B4-BE49-F238E27FC236}">
              <a16:creationId xmlns:a16="http://schemas.microsoft.com/office/drawing/2014/main" id="{A978FF4A-B6DE-40D5-8511-86A2A82F3FB7}"/>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8632209" y="123231"/>
          <a:ext cx="1325025" cy="730192"/>
        </a:xfrm>
        <a:prstGeom prst="rect">
          <a:avLst/>
        </a:prstGeom>
      </xdr:spPr>
    </xdr:pic>
    <xdr:clientData/>
  </xdr:twoCellAnchor>
  <xdr:twoCellAnchor editAs="oneCell">
    <xdr:from>
      <xdr:col>0</xdr:col>
      <xdr:colOff>0</xdr:colOff>
      <xdr:row>0</xdr:row>
      <xdr:rowOff>0</xdr:rowOff>
    </xdr:from>
    <xdr:to>
      <xdr:col>2</xdr:col>
      <xdr:colOff>102357</xdr:colOff>
      <xdr:row>3</xdr:row>
      <xdr:rowOff>249855</xdr:rowOff>
    </xdr:to>
    <xdr:pic>
      <xdr:nvPicPr>
        <xdr:cNvPr id="2" name="Picture 1">
          <a:extLst>
            <a:ext uri="{FF2B5EF4-FFF2-40B4-BE49-F238E27FC236}">
              <a16:creationId xmlns:a16="http://schemas.microsoft.com/office/drawing/2014/main" id="{D5052CA0-1596-43C2-834C-D0A75DAE8C03}"/>
            </a:ext>
          </a:extLst>
        </xdr:cNvPr>
        <xdr:cNvPicPr/>
      </xdr:nvPicPr>
      <xdr:blipFill>
        <a:blip xmlns:r="http://schemas.openxmlformats.org/officeDocument/2006/relationships" r:embed="rId2" cstate="print"/>
        <a:stretch>
          <a:fillRect/>
        </a:stretch>
      </xdr:blipFill>
      <xdr:spPr bwMode="auto">
        <a:xfrm>
          <a:off x="0" y="0"/>
          <a:ext cx="909850" cy="85831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213360</xdr:colOff>
          <xdr:row>9</xdr:row>
          <xdr:rowOff>160020</xdr:rowOff>
        </xdr:from>
        <xdr:to>
          <xdr:col>1</xdr:col>
          <xdr:colOff>53340</xdr:colOff>
          <xdr:row>12</xdr:row>
          <xdr:rowOff>60960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213360</xdr:colOff>
          <xdr:row>9</xdr:row>
          <xdr:rowOff>152400</xdr:rowOff>
        </xdr:from>
        <xdr:to>
          <xdr:col>10</xdr:col>
          <xdr:colOff>53340</xdr:colOff>
          <xdr:row>12</xdr:row>
          <xdr:rowOff>68580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xdr:colOff>
          <xdr:row>13</xdr:row>
          <xdr:rowOff>22860</xdr:rowOff>
        </xdr:from>
        <xdr:to>
          <xdr:col>1</xdr:col>
          <xdr:colOff>53340</xdr:colOff>
          <xdr:row>15</xdr:row>
          <xdr:rowOff>83820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213360</xdr:colOff>
          <xdr:row>13</xdr:row>
          <xdr:rowOff>22860</xdr:rowOff>
        </xdr:from>
        <xdr:to>
          <xdr:col>10</xdr:col>
          <xdr:colOff>53340</xdr:colOff>
          <xdr:row>15</xdr:row>
          <xdr:rowOff>83820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228600</xdr:colOff>
          <xdr:row>13</xdr:row>
          <xdr:rowOff>22860</xdr:rowOff>
        </xdr:from>
        <xdr:to>
          <xdr:col>18</xdr:col>
          <xdr:colOff>68580</xdr:colOff>
          <xdr:row>15</xdr:row>
          <xdr:rowOff>83820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30480</xdr:colOff>
          <xdr:row>10</xdr:row>
          <xdr:rowOff>38100</xdr:rowOff>
        </xdr:from>
        <xdr:to>
          <xdr:col>27</xdr:col>
          <xdr:colOff>99060</xdr:colOff>
          <xdr:row>15</xdr:row>
          <xdr:rowOff>99060</xdr:rowOff>
        </xdr:to>
        <xdr:sp macro="" textlink="">
          <xdr:nvSpPr>
            <xdr:cNvPr id="1038" name="Option Button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00FFFF" mc:Ignorable="a14" a14:legacySpreadsheetColorIndex="3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800" b="0" i="0" u="none" strike="noStrike" baseline="0">
                  <a:solidFill>
                    <a:srgbClr val="000000"/>
                  </a:solidFill>
                  <a:latin typeface="Segoe UI"/>
                  <a:cs typeface="Segoe UI"/>
                </a:rPr>
                <a:t>Clear Selection</a:t>
              </a:r>
            </a:p>
          </xdr:txBody>
        </xdr:sp>
        <xdr:clientData fLocksWithSheet="0"/>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9A63-4936-49E0-9968-7FC93756E589}">
  <sheetPr>
    <tabColor theme="0"/>
    <pageSetUpPr fitToPage="1"/>
  </sheetPr>
  <dimension ref="A1:AM132"/>
  <sheetViews>
    <sheetView showGridLines="0" view="pageBreakPreview" zoomScale="130" zoomScaleNormal="145" zoomScaleSheetLayoutView="130" workbookViewId="0">
      <selection activeCell="D28" sqref="D28:Q28"/>
    </sheetView>
  </sheetViews>
  <sheetFormatPr defaultColWidth="0" defaultRowHeight="10.15" zeroHeight="1"/>
  <cols>
    <col min="1" max="25" width="5.85546875" style="13" customWidth="1"/>
    <col min="26" max="26" width="1.85546875" style="22" customWidth="1"/>
    <col min="27" max="27" width="15" style="22" customWidth="1"/>
    <col min="28" max="28" width="1.85546875" style="22" customWidth="1"/>
    <col min="29" max="29" width="16.5703125" style="24" hidden="1" customWidth="1"/>
    <col min="30" max="30" width="4.140625" style="190" hidden="1" customWidth="1"/>
    <col min="31" max="31" width="4.140625" style="191" hidden="1" customWidth="1"/>
    <col min="32" max="32" width="4.140625" style="196" hidden="1" customWidth="1"/>
    <col min="33" max="33" width="3.7109375" style="191" hidden="1" customWidth="1"/>
    <col min="34" max="39" width="3.7109375" style="13" hidden="1" customWidth="1"/>
    <col min="40" max="16384" width="9.140625" style="13" hidden="1"/>
  </cols>
  <sheetData>
    <row r="1" spans="1:33" ht="12">
      <c r="Y1" s="33" t="s">
        <v>0</v>
      </c>
      <c r="AC1" s="142" t="s">
        <v>1</v>
      </c>
    </row>
    <row r="2" spans="1:33" ht="15">
      <c r="A2" s="41" t="s">
        <v>2</v>
      </c>
      <c r="B2" s="14"/>
      <c r="C2" s="14"/>
      <c r="D2" s="14"/>
      <c r="E2" s="14"/>
      <c r="F2" s="14"/>
      <c r="G2" s="14"/>
      <c r="H2" s="14"/>
      <c r="I2" s="14"/>
      <c r="J2" s="14"/>
      <c r="K2" s="14"/>
      <c r="L2" s="14"/>
      <c r="M2" s="14"/>
      <c r="N2" s="14"/>
      <c r="O2" s="14"/>
      <c r="P2" s="14"/>
      <c r="Q2" s="14"/>
      <c r="R2" s="14"/>
      <c r="S2" s="14"/>
      <c r="T2" s="14"/>
      <c r="U2" s="14"/>
      <c r="V2" s="14"/>
      <c r="W2" s="14"/>
      <c r="X2" s="14"/>
      <c r="Y2" s="14"/>
      <c r="AC2" s="216"/>
    </row>
    <row r="3" spans="1:33" ht="20.45">
      <c r="A3" s="141" t="s">
        <v>3</v>
      </c>
      <c r="B3" s="14"/>
      <c r="C3" s="14"/>
      <c r="D3" s="14"/>
      <c r="E3" s="14"/>
      <c r="F3" s="14"/>
      <c r="G3" s="14"/>
      <c r="H3" s="14"/>
      <c r="I3" s="14"/>
      <c r="J3" s="14"/>
      <c r="K3" s="14"/>
      <c r="L3" s="14"/>
      <c r="M3" s="14"/>
      <c r="N3" s="14"/>
      <c r="O3" s="14"/>
      <c r="P3" s="14"/>
      <c r="Q3" s="14"/>
      <c r="R3" s="14"/>
      <c r="S3" s="14"/>
      <c r="T3" s="14"/>
      <c r="U3" s="14"/>
      <c r="V3" s="14"/>
      <c r="W3" s="14"/>
      <c r="X3" s="14"/>
      <c r="Y3" s="14"/>
      <c r="AC3" s="216"/>
    </row>
    <row r="4" spans="1:33" ht="21.6" thickBot="1">
      <c r="A4" s="119" t="s">
        <v>4</v>
      </c>
      <c r="B4" s="14"/>
      <c r="C4" s="14"/>
      <c r="D4" s="14"/>
      <c r="E4" s="14"/>
      <c r="F4" s="14"/>
      <c r="G4" s="14"/>
      <c r="H4" s="14"/>
      <c r="I4" s="14"/>
      <c r="J4" s="14"/>
      <c r="K4" s="14"/>
      <c r="L4" s="14"/>
      <c r="M4" s="14"/>
      <c r="N4" s="14"/>
      <c r="O4" s="14"/>
      <c r="P4" s="14"/>
      <c r="Q4" s="14"/>
      <c r="R4" s="14"/>
      <c r="S4" s="14"/>
      <c r="T4" s="14"/>
      <c r="U4" s="14"/>
      <c r="V4" s="14"/>
      <c r="W4" s="14"/>
      <c r="X4" s="14"/>
      <c r="Y4" s="14"/>
      <c r="AC4" s="142"/>
    </row>
    <row r="5" spans="1:33" ht="13.9" thickBot="1">
      <c r="A5" s="42" t="s">
        <v>5</v>
      </c>
      <c r="B5" s="15"/>
      <c r="C5" s="15"/>
      <c r="D5" s="15"/>
      <c r="E5" s="15"/>
      <c r="F5" s="15"/>
      <c r="G5" s="15"/>
      <c r="H5" s="15"/>
      <c r="I5" s="15"/>
      <c r="J5" s="15"/>
      <c r="K5" s="15"/>
      <c r="L5" s="15"/>
      <c r="M5" s="15"/>
      <c r="N5" s="15"/>
      <c r="O5" s="15"/>
      <c r="P5" s="15"/>
      <c r="Q5" s="15"/>
      <c r="R5" s="15"/>
      <c r="S5" s="15"/>
      <c r="T5" s="15"/>
      <c r="U5" s="15"/>
      <c r="V5" s="15"/>
      <c r="W5" s="15"/>
      <c r="X5" s="15"/>
      <c r="Y5" s="16"/>
      <c r="AC5" s="216"/>
    </row>
    <row r="6" spans="1:33" ht="5.0999999999999996" customHeight="1">
      <c r="AC6" s="216"/>
    </row>
    <row r="7" spans="1:33" ht="9.6" customHeight="1">
      <c r="A7" s="139" t="s">
        <v>6</v>
      </c>
      <c r="B7" s="17"/>
      <c r="C7" s="327"/>
      <c r="D7" s="327"/>
      <c r="E7" s="327"/>
      <c r="F7" s="327"/>
      <c r="G7" s="327"/>
      <c r="H7" s="327"/>
      <c r="I7" s="138" t="s">
        <v>7</v>
      </c>
      <c r="J7" s="103"/>
      <c r="K7" s="371"/>
      <c r="L7" s="371"/>
      <c r="M7" s="371"/>
      <c r="N7" s="371"/>
      <c r="O7" s="371"/>
      <c r="P7" s="371"/>
      <c r="Q7" s="207" t="s">
        <v>8</v>
      </c>
      <c r="R7" s="19"/>
      <c r="S7" s="372"/>
      <c r="T7" s="372"/>
      <c r="U7" s="372"/>
      <c r="V7" s="372"/>
      <c r="X7" s="140" t="s">
        <v>9</v>
      </c>
      <c r="Y7" s="202"/>
      <c r="AC7" s="216"/>
    </row>
    <row r="8" spans="1:33" ht="10.15" customHeight="1">
      <c r="A8" s="139" t="s">
        <v>10</v>
      </c>
      <c r="B8" s="17"/>
      <c r="C8" s="341"/>
      <c r="D8" s="342"/>
      <c r="E8" s="342"/>
      <c r="F8" s="342"/>
      <c r="G8" s="342"/>
      <c r="H8" s="342"/>
      <c r="I8" s="138" t="s">
        <v>11</v>
      </c>
      <c r="J8" s="17"/>
      <c r="K8" s="326"/>
      <c r="L8" s="326"/>
      <c r="M8" s="326"/>
      <c r="N8" s="19"/>
      <c r="O8" s="140" t="s">
        <v>12</v>
      </c>
      <c r="P8" s="323"/>
      <c r="Q8" s="324"/>
      <c r="U8" s="19"/>
      <c r="V8" s="140" t="s">
        <v>13</v>
      </c>
      <c r="W8" s="325"/>
      <c r="X8" s="325"/>
      <c r="Y8" s="325"/>
      <c r="AC8" s="216"/>
    </row>
    <row r="9" spans="1:33" s="22" customFormat="1" ht="8.4499999999999993" thickBot="1">
      <c r="K9" s="312" t="s">
        <v>14</v>
      </c>
      <c r="L9" s="312"/>
      <c r="M9" s="312"/>
      <c r="N9" s="26"/>
      <c r="O9" s="26"/>
      <c r="W9" s="312" t="s">
        <v>14</v>
      </c>
      <c r="X9" s="312"/>
      <c r="Y9" s="312"/>
      <c r="AC9" s="216"/>
      <c r="AD9" s="190"/>
      <c r="AE9" s="191"/>
      <c r="AF9" s="196"/>
      <c r="AG9" s="191"/>
    </row>
    <row r="10" spans="1:33" ht="13.9" thickBot="1">
      <c r="A10" s="42" t="s">
        <v>15</v>
      </c>
      <c r="B10" s="15"/>
      <c r="C10" s="15"/>
      <c r="D10" s="15"/>
      <c r="E10" s="15"/>
      <c r="F10" s="15"/>
      <c r="G10" s="15"/>
      <c r="H10" s="15"/>
      <c r="I10" s="15"/>
      <c r="J10" s="15"/>
      <c r="K10" s="15"/>
      <c r="L10" s="15"/>
      <c r="M10" s="15"/>
      <c r="N10" s="15"/>
      <c r="O10" s="15"/>
      <c r="P10" s="15"/>
      <c r="Q10" s="15"/>
      <c r="R10" s="15"/>
      <c r="S10" s="15"/>
      <c r="T10" s="15"/>
      <c r="U10" s="15"/>
      <c r="V10" s="15"/>
      <c r="W10" s="15"/>
      <c r="X10" s="15"/>
      <c r="Y10" s="16"/>
      <c r="AC10" s="98" t="s">
        <v>16</v>
      </c>
      <c r="AD10" s="191"/>
    </row>
    <row r="11" spans="1:33" ht="5.0999999999999996" customHeight="1">
      <c r="AC11" s="99"/>
    </row>
    <row r="12" spans="1:33" s="34" customFormat="1" ht="14.45" thickBot="1">
      <c r="A12" s="152"/>
      <c r="B12" s="139" t="s">
        <v>17</v>
      </c>
      <c r="C12" s="19"/>
      <c r="D12" s="19"/>
      <c r="E12" s="19"/>
      <c r="F12" s="19"/>
      <c r="G12" s="148" t="s">
        <v>18</v>
      </c>
      <c r="H12" s="232"/>
      <c r="I12" s="232"/>
      <c r="J12" s="152"/>
      <c r="K12" s="139" t="s">
        <v>19</v>
      </c>
      <c r="L12" s="19"/>
      <c r="M12" s="19"/>
      <c r="N12" s="19"/>
      <c r="O12" s="19"/>
      <c r="P12" s="19"/>
      <c r="Q12" s="148" t="s">
        <v>18</v>
      </c>
      <c r="R12" s="315"/>
      <c r="S12" s="315"/>
      <c r="T12" s="19"/>
      <c r="U12" s="19"/>
      <c r="V12" s="19"/>
      <c r="W12" s="19"/>
      <c r="X12" s="19"/>
      <c r="Y12" s="19"/>
      <c r="AC12" s="151">
        <v>6</v>
      </c>
      <c r="AD12" s="190"/>
      <c r="AE12" s="191"/>
      <c r="AF12" s="196"/>
      <c r="AG12" s="191"/>
    </row>
    <row r="13" spans="1:33" s="34" customFormat="1" ht="10.15" customHeight="1">
      <c r="A13" s="152"/>
      <c r="B13" s="147" t="s">
        <v>20</v>
      </c>
      <c r="C13" s="19"/>
      <c r="D13" s="19"/>
      <c r="E13" s="19"/>
      <c r="F13" s="19"/>
      <c r="G13" s="316"/>
      <c r="H13" s="316"/>
      <c r="I13" s="316"/>
      <c r="J13" s="152"/>
      <c r="K13" s="149" t="s">
        <v>21</v>
      </c>
      <c r="L13" s="19"/>
      <c r="M13" s="373"/>
      <c r="N13" s="373"/>
      <c r="O13" s="373"/>
      <c r="P13" s="373"/>
      <c r="Q13" s="373"/>
      <c r="R13" s="373"/>
      <c r="S13" s="373"/>
      <c r="T13" s="19"/>
      <c r="U13" s="150" t="s">
        <v>22</v>
      </c>
      <c r="V13" s="315"/>
      <c r="W13" s="315"/>
      <c r="X13" s="315"/>
      <c r="Y13" s="315"/>
      <c r="AC13" s="216"/>
      <c r="AD13" s="190"/>
      <c r="AE13" s="191"/>
      <c r="AF13" s="196"/>
      <c r="AG13" s="191"/>
    </row>
    <row r="14" spans="1:33" s="22" customFormat="1" ht="7.9">
      <c r="G14" s="312" t="s">
        <v>14</v>
      </c>
      <c r="H14" s="312"/>
      <c r="I14" s="312"/>
      <c r="K14" s="105"/>
      <c r="AC14" s="216"/>
      <c r="AD14" s="190"/>
      <c r="AE14" s="191"/>
      <c r="AF14" s="196"/>
      <c r="AG14" s="191"/>
    </row>
    <row r="15" spans="1:33" s="34" customFormat="1" ht="13.9">
      <c r="A15" s="88"/>
      <c r="B15" s="139" t="s">
        <v>23</v>
      </c>
      <c r="C15" s="19"/>
      <c r="D15" s="19"/>
      <c r="E15" s="19"/>
      <c r="F15" s="20"/>
      <c r="G15" s="148" t="s">
        <v>24</v>
      </c>
      <c r="H15" s="315"/>
      <c r="I15" s="315"/>
      <c r="J15" s="88"/>
      <c r="K15" s="139" t="s">
        <v>25</v>
      </c>
      <c r="L15" s="19"/>
      <c r="M15" s="19"/>
      <c r="N15" s="19"/>
      <c r="O15" s="148" t="s">
        <v>24</v>
      </c>
      <c r="P15" s="315"/>
      <c r="Q15" s="315"/>
      <c r="R15" s="86"/>
      <c r="S15" s="139" t="s">
        <v>26</v>
      </c>
      <c r="U15" s="19"/>
      <c r="V15" s="373"/>
      <c r="W15" s="373"/>
      <c r="X15" s="373"/>
      <c r="Y15" s="373"/>
      <c r="AC15" s="216"/>
      <c r="AD15" s="190"/>
      <c r="AE15" s="191"/>
      <c r="AF15" s="196"/>
      <c r="AG15" s="191"/>
    </row>
    <row r="16" spans="1:33" s="34" customFormat="1" ht="10.15" customHeight="1">
      <c r="A16" s="88"/>
      <c r="B16" s="147" t="s">
        <v>27</v>
      </c>
      <c r="C16" s="19"/>
      <c r="D16" s="19"/>
      <c r="E16" s="19"/>
      <c r="F16" s="19"/>
      <c r="G16" s="316"/>
      <c r="H16" s="316"/>
      <c r="I16" s="316"/>
      <c r="J16" s="88"/>
      <c r="K16" s="149" t="s">
        <v>28</v>
      </c>
      <c r="L16" s="23"/>
      <c r="M16" s="23"/>
      <c r="N16" s="374"/>
      <c r="O16" s="374"/>
      <c r="P16" s="374"/>
      <c r="Q16" s="374"/>
      <c r="R16" s="374"/>
      <c r="S16" s="374"/>
      <c r="T16" s="374"/>
      <c r="U16" s="374"/>
      <c r="V16" s="374"/>
      <c r="W16" s="374"/>
      <c r="X16" s="374"/>
      <c r="Y16" s="374"/>
      <c r="AC16" s="216"/>
      <c r="AD16" s="190"/>
      <c r="AE16" s="191"/>
      <c r="AF16" s="196"/>
      <c r="AG16" s="191"/>
    </row>
    <row r="17" spans="1:33" s="22" customFormat="1" ht="7.9">
      <c r="B17" s="216"/>
      <c r="G17" s="312" t="s">
        <v>14</v>
      </c>
      <c r="H17" s="312"/>
      <c r="I17" s="312"/>
      <c r="K17" s="153"/>
      <c r="N17" s="25"/>
      <c r="O17" s="153" t="s">
        <v>29</v>
      </c>
      <c r="P17" s="25"/>
      <c r="Q17" s="25"/>
      <c r="R17" s="25"/>
      <c r="S17" s="26"/>
      <c r="AC17" s="216"/>
      <c r="AD17" s="190"/>
      <c r="AE17" s="191"/>
      <c r="AF17" s="196"/>
      <c r="AG17" s="191"/>
    </row>
    <row r="18" spans="1:33" s="22" customFormat="1">
      <c r="A18" s="12" t="s">
        <v>30</v>
      </c>
      <c r="B18" s="26"/>
      <c r="C18" s="26"/>
      <c r="D18" s="26"/>
      <c r="E18" s="26"/>
      <c r="F18" s="26"/>
      <c r="G18" s="26"/>
      <c r="H18" s="26"/>
      <c r="I18" s="26"/>
      <c r="J18" s="26"/>
      <c r="K18" s="12" t="s">
        <v>31</v>
      </c>
      <c r="L18" s="26"/>
      <c r="N18" s="26"/>
      <c r="O18" s="26"/>
      <c r="Q18" s="26"/>
      <c r="R18" s="26"/>
      <c r="S18" s="26"/>
      <c r="T18" s="26"/>
      <c r="U18" s="26"/>
      <c r="V18" s="219"/>
      <c r="X18" s="314"/>
      <c r="Y18" s="314"/>
      <c r="AC18" s="216"/>
      <c r="AD18" s="190"/>
      <c r="AE18" s="191"/>
      <c r="AF18" s="196"/>
      <c r="AG18" s="191"/>
    </row>
    <row r="19" spans="1:33" s="22" customFormat="1" ht="10.9" thickBot="1">
      <c r="A19" s="12" t="s">
        <v>32</v>
      </c>
      <c r="B19" s="26"/>
      <c r="C19" s="26"/>
      <c r="D19" s="26"/>
      <c r="E19" s="26"/>
      <c r="F19" s="26"/>
      <c r="G19" s="26"/>
      <c r="H19" s="26"/>
      <c r="I19" s="26"/>
      <c r="J19" s="26"/>
      <c r="K19" s="26"/>
      <c r="L19" s="26"/>
      <c r="M19" s="26"/>
      <c r="N19" s="26"/>
      <c r="O19" s="26"/>
      <c r="P19" s="26"/>
      <c r="Q19" s="26"/>
      <c r="R19" s="26"/>
      <c r="S19" s="26"/>
      <c r="T19" s="26"/>
      <c r="U19" s="26"/>
      <c r="V19" s="26"/>
      <c r="W19" s="26"/>
      <c r="X19" s="26"/>
      <c r="Y19" s="26"/>
      <c r="AC19" s="216"/>
      <c r="AD19" s="190"/>
      <c r="AE19" s="191"/>
      <c r="AF19" s="196"/>
      <c r="AG19" s="191"/>
    </row>
    <row r="20" spans="1:33" ht="13.15">
      <c r="A20" s="52" t="s">
        <v>33</v>
      </c>
      <c r="B20" s="27"/>
      <c r="C20" s="27"/>
      <c r="D20" s="27"/>
      <c r="E20" s="27"/>
      <c r="F20" s="27"/>
      <c r="G20" s="27"/>
      <c r="H20" s="27"/>
      <c r="I20" s="27"/>
      <c r="J20" s="27"/>
      <c r="K20" s="27"/>
      <c r="L20" s="27"/>
      <c r="M20" s="27"/>
      <c r="N20" s="27"/>
      <c r="O20" s="27"/>
      <c r="P20" s="27"/>
      <c r="Q20" s="27"/>
      <c r="R20" s="27"/>
      <c r="S20" s="27"/>
      <c r="T20" s="27"/>
      <c r="U20" s="27"/>
      <c r="V20" s="27"/>
      <c r="W20" s="27"/>
      <c r="X20" s="27"/>
      <c r="Y20" s="28"/>
      <c r="AC20" s="216"/>
    </row>
    <row r="21" spans="1:33" s="22" customFormat="1" ht="4.9000000000000004" customHeight="1">
      <c r="A21" s="29"/>
      <c r="B21" s="30"/>
      <c r="C21" s="30"/>
      <c r="D21" s="30"/>
      <c r="E21" s="30"/>
      <c r="F21" s="30"/>
      <c r="G21" s="30"/>
      <c r="H21" s="30"/>
      <c r="I21" s="30"/>
      <c r="J21" s="30"/>
      <c r="K21" s="30"/>
      <c r="L21" s="30"/>
      <c r="M21" s="30"/>
      <c r="N21" s="30"/>
      <c r="O21" s="30"/>
      <c r="P21" s="30"/>
      <c r="Q21" s="30"/>
      <c r="R21" s="30"/>
      <c r="S21" s="30"/>
      <c r="T21" s="30"/>
      <c r="U21" s="30"/>
      <c r="V21" s="30"/>
      <c r="W21" s="30"/>
      <c r="X21" s="30"/>
      <c r="Y21" s="30"/>
      <c r="AC21" s="216"/>
      <c r="AD21" s="190"/>
      <c r="AE21" s="191"/>
      <c r="AF21" s="196"/>
      <c r="AG21" s="191"/>
    </row>
    <row r="22" spans="1:33" s="19" customFormat="1" ht="13.9">
      <c r="A22" s="138" t="s">
        <v>34</v>
      </c>
      <c r="B22" s="39"/>
      <c r="C22" s="309"/>
      <c r="D22" s="309"/>
      <c r="E22" s="309"/>
      <c r="F22" s="309"/>
      <c r="G22" s="309"/>
      <c r="H22" s="309"/>
      <c r="I22" s="309"/>
      <c r="J22" s="309"/>
      <c r="K22" s="309"/>
      <c r="M22" s="140" t="s">
        <v>35</v>
      </c>
      <c r="N22" s="232"/>
      <c r="O22" s="232"/>
      <c r="R22" s="140" t="s">
        <v>36</v>
      </c>
      <c r="S22" s="295">
        <v>11</v>
      </c>
      <c r="T22" s="295"/>
      <c r="U22" s="17"/>
      <c r="V22" s="140" t="s">
        <v>37</v>
      </c>
      <c r="W22" s="232"/>
      <c r="X22" s="232"/>
      <c r="Y22" s="232"/>
      <c r="AA22" s="226" t="s">
        <v>38</v>
      </c>
      <c r="AC22" s="216"/>
      <c r="AD22" s="190"/>
      <c r="AE22" s="191"/>
      <c r="AF22" s="196"/>
      <c r="AG22" s="191"/>
    </row>
    <row r="23" spans="1:33" s="19" customFormat="1" ht="14.45" customHeight="1">
      <c r="A23" s="139" t="s">
        <v>39</v>
      </c>
      <c r="B23" s="17"/>
      <c r="C23" s="260"/>
      <c r="D23" s="260"/>
      <c r="E23" s="260"/>
      <c r="F23" s="260"/>
      <c r="G23" s="260"/>
      <c r="H23" s="260"/>
      <c r="I23" s="260"/>
      <c r="J23" s="260"/>
      <c r="K23" s="260"/>
      <c r="L23" s="260"/>
      <c r="M23" s="260"/>
      <c r="N23" s="260"/>
      <c r="O23" s="260"/>
      <c r="R23" s="140" t="s">
        <v>40</v>
      </c>
      <c r="S23" s="232"/>
      <c r="T23" s="232"/>
      <c r="U23" s="232"/>
      <c r="V23" s="140" t="s">
        <v>41</v>
      </c>
      <c r="W23" s="317" t="s">
        <v>42</v>
      </c>
      <c r="X23" s="317"/>
      <c r="Y23" s="317"/>
      <c r="AA23" s="226"/>
      <c r="AC23" s="216"/>
      <c r="AD23" s="190"/>
      <c r="AE23" s="191"/>
      <c r="AF23" s="196"/>
      <c r="AG23" s="191"/>
    </row>
    <row r="24" spans="1:33" ht="4.9000000000000004" customHeight="1">
      <c r="AA24" s="226"/>
      <c r="AC24" s="216"/>
    </row>
    <row r="25" spans="1:33" s="34" customFormat="1" ht="10.15" customHeight="1">
      <c r="A25" s="278" t="s">
        <v>43</v>
      </c>
      <c r="B25" s="279"/>
      <c r="C25" s="280"/>
      <c r="D25" s="278" t="s">
        <v>44</v>
      </c>
      <c r="E25" s="279"/>
      <c r="F25" s="279"/>
      <c r="G25" s="279"/>
      <c r="H25" s="279"/>
      <c r="I25" s="279"/>
      <c r="J25" s="279"/>
      <c r="K25" s="279"/>
      <c r="L25" s="279"/>
      <c r="M25" s="279"/>
      <c r="N25" s="279"/>
      <c r="O25" s="279"/>
      <c r="P25" s="279"/>
      <c r="Q25" s="280"/>
      <c r="R25" s="276" t="s">
        <v>45</v>
      </c>
      <c r="S25" s="276"/>
      <c r="T25" s="301" t="s">
        <v>46</v>
      </c>
      <c r="U25" s="301"/>
      <c r="V25" s="301"/>
      <c r="W25" s="302" t="s">
        <v>47</v>
      </c>
      <c r="X25" s="303"/>
      <c r="Y25" s="304"/>
      <c r="AA25" s="226"/>
      <c r="AC25" s="216"/>
      <c r="AD25" s="190"/>
      <c r="AE25" s="191"/>
      <c r="AF25" s="196"/>
      <c r="AG25" s="191"/>
    </row>
    <row r="26" spans="1:33" s="34" customFormat="1" ht="10.15" customHeight="1">
      <c r="A26" s="281"/>
      <c r="B26" s="282"/>
      <c r="C26" s="283"/>
      <c r="D26" s="281"/>
      <c r="E26" s="282"/>
      <c r="F26" s="282"/>
      <c r="G26" s="282"/>
      <c r="H26" s="282"/>
      <c r="I26" s="282"/>
      <c r="J26" s="282"/>
      <c r="K26" s="282"/>
      <c r="L26" s="282"/>
      <c r="M26" s="282"/>
      <c r="N26" s="282"/>
      <c r="O26" s="282"/>
      <c r="P26" s="282"/>
      <c r="Q26" s="283"/>
      <c r="R26" s="276"/>
      <c r="S26" s="276"/>
      <c r="T26" s="276" t="s">
        <v>48</v>
      </c>
      <c r="U26" s="276" t="s">
        <v>49</v>
      </c>
      <c r="V26" s="276"/>
      <c r="W26" s="305"/>
      <c r="X26" s="306"/>
      <c r="Y26" s="307"/>
      <c r="AA26" s="226"/>
      <c r="AC26" s="216"/>
      <c r="AD26" s="190"/>
      <c r="AE26" s="191"/>
      <c r="AF26" s="196"/>
      <c r="AG26" s="191"/>
    </row>
    <row r="27" spans="1:33" s="34" customFormat="1" ht="10.15" customHeight="1">
      <c r="A27" s="277" t="s">
        <v>50</v>
      </c>
      <c r="B27" s="277"/>
      <c r="C27" s="277"/>
      <c r="D27" s="277" t="s">
        <v>51</v>
      </c>
      <c r="E27" s="277"/>
      <c r="F27" s="277"/>
      <c r="G27" s="277"/>
      <c r="H27" s="277"/>
      <c r="I27" s="277"/>
      <c r="J27" s="277"/>
      <c r="K27" s="277"/>
      <c r="L27" s="277"/>
      <c r="M27" s="277"/>
      <c r="N27" s="277"/>
      <c r="O27" s="277"/>
      <c r="P27" s="277"/>
      <c r="Q27" s="277"/>
      <c r="R27" s="220" t="s">
        <v>52</v>
      </c>
      <c r="S27" s="220" t="s">
        <v>53</v>
      </c>
      <c r="T27" s="276"/>
      <c r="U27" s="276"/>
      <c r="V27" s="276"/>
      <c r="W27" s="337" t="s">
        <v>54</v>
      </c>
      <c r="X27" s="338"/>
      <c r="Y27" s="339"/>
      <c r="AA27" s="226"/>
      <c r="AC27" s="216"/>
      <c r="AD27" s="190"/>
      <c r="AE27" s="191"/>
      <c r="AF27" s="196"/>
      <c r="AG27" s="191"/>
    </row>
    <row r="28" spans="1:33" s="34" customFormat="1" ht="10.15" customHeight="1">
      <c r="A28" s="50">
        <v>1</v>
      </c>
      <c r="B28" s="290" t="s">
        <v>55</v>
      </c>
      <c r="C28" s="290"/>
      <c r="D28" s="313" t="s">
        <v>56</v>
      </c>
      <c r="E28" s="313"/>
      <c r="F28" s="313"/>
      <c r="G28" s="313"/>
      <c r="H28" s="313"/>
      <c r="I28" s="313"/>
      <c r="J28" s="313"/>
      <c r="K28" s="313"/>
      <c r="L28" s="313"/>
      <c r="M28" s="313"/>
      <c r="N28" s="313"/>
      <c r="O28" s="313"/>
      <c r="P28" s="313"/>
      <c r="Q28" s="313"/>
      <c r="R28" s="224" t="str">
        <f>IF(AND(R29&lt;&gt;"",R30&lt;&gt;""),ROUND(AVERAGE(R29:R30),),"")</f>
        <v/>
      </c>
      <c r="S28" s="224" t="str">
        <f>IF(AND(S29&lt;&gt;"",S30&lt;&gt;""),ROUND(AVERAGE(S29:S30),),"")</f>
        <v/>
      </c>
      <c r="T28" s="94"/>
      <c r="U28" s="340"/>
      <c r="V28" s="340"/>
      <c r="W28" s="328" t="s">
        <v>57</v>
      </c>
      <c r="X28" s="329"/>
      <c r="Y28" s="330"/>
      <c r="AA28" s="226"/>
      <c r="AC28" s="154"/>
      <c r="AD28" s="190"/>
      <c r="AE28" s="191"/>
      <c r="AF28" s="196"/>
      <c r="AG28" s="191"/>
    </row>
    <row r="29" spans="1:33" s="34" customFormat="1" ht="10.15" customHeight="1">
      <c r="A29" s="218" t="s">
        <v>58</v>
      </c>
      <c r="B29" s="244" t="s">
        <v>55</v>
      </c>
      <c r="C29" s="244"/>
      <c r="D29" s="322" t="s">
        <v>59</v>
      </c>
      <c r="E29" s="322"/>
      <c r="F29" s="322"/>
      <c r="G29" s="322"/>
      <c r="H29" s="322"/>
      <c r="I29" s="322"/>
      <c r="J29" s="322"/>
      <c r="K29" s="322"/>
      <c r="L29" s="322"/>
      <c r="M29" s="322"/>
      <c r="N29" s="322"/>
      <c r="O29" s="322"/>
      <c r="P29" s="322"/>
      <c r="Q29" s="322"/>
      <c r="R29" s="83"/>
      <c r="S29" s="83"/>
      <c r="T29" s="95"/>
      <c r="U29" s="300"/>
      <c r="V29" s="300"/>
      <c r="W29" s="331"/>
      <c r="X29" s="332"/>
      <c r="Y29" s="333"/>
      <c r="AA29" s="226"/>
      <c r="AC29" s="343"/>
      <c r="AD29" s="190"/>
      <c r="AE29" s="191"/>
      <c r="AF29" s="196"/>
      <c r="AG29" s="191"/>
    </row>
    <row r="30" spans="1:33" s="34" customFormat="1" ht="10.15" customHeight="1">
      <c r="A30" s="218" t="s">
        <v>60</v>
      </c>
      <c r="B30" s="244" t="s">
        <v>55</v>
      </c>
      <c r="C30" s="244"/>
      <c r="D30" s="322" t="s">
        <v>61</v>
      </c>
      <c r="E30" s="322"/>
      <c r="F30" s="322"/>
      <c r="G30" s="322"/>
      <c r="H30" s="322"/>
      <c r="I30" s="322"/>
      <c r="J30" s="322"/>
      <c r="K30" s="322"/>
      <c r="L30" s="322"/>
      <c r="M30" s="322"/>
      <c r="N30" s="322"/>
      <c r="O30" s="322"/>
      <c r="P30" s="322"/>
      <c r="Q30" s="322"/>
      <c r="R30" s="83"/>
      <c r="S30" s="83"/>
      <c r="T30" s="95"/>
      <c r="U30" s="300"/>
      <c r="V30" s="300"/>
      <c r="W30" s="331"/>
      <c r="X30" s="332"/>
      <c r="Y30" s="333"/>
      <c r="AA30" s="226"/>
      <c r="AC30" s="344"/>
      <c r="AD30" s="190"/>
      <c r="AE30" s="191"/>
      <c r="AF30" s="196"/>
      <c r="AG30" s="191"/>
    </row>
    <row r="31" spans="1:33" s="34" customFormat="1" ht="10.15" customHeight="1">
      <c r="A31" s="46">
        <v>2</v>
      </c>
      <c r="B31" s="272" t="s">
        <v>55</v>
      </c>
      <c r="C31" s="272"/>
      <c r="D31" s="288" t="s">
        <v>62</v>
      </c>
      <c r="E31" s="288"/>
      <c r="F31" s="288"/>
      <c r="G31" s="288"/>
      <c r="H31" s="288"/>
      <c r="I31" s="288"/>
      <c r="J31" s="288"/>
      <c r="K31" s="288"/>
      <c r="L31" s="288"/>
      <c r="M31" s="288"/>
      <c r="N31" s="288"/>
      <c r="O31" s="288"/>
      <c r="P31" s="288"/>
      <c r="Q31" s="288"/>
      <c r="R31" s="80"/>
      <c r="S31" s="80"/>
      <c r="T31" s="95"/>
      <c r="U31" s="294"/>
      <c r="V31" s="294"/>
      <c r="W31" s="331"/>
      <c r="X31" s="332"/>
      <c r="Y31" s="333"/>
      <c r="AA31" s="226"/>
      <c r="AC31" s="216"/>
      <c r="AD31" s="190"/>
      <c r="AE31" s="191"/>
      <c r="AF31" s="196"/>
      <c r="AG31" s="191"/>
    </row>
    <row r="32" spans="1:33" s="34" customFormat="1" ht="10.15" customHeight="1">
      <c r="A32" s="46">
        <v>3</v>
      </c>
      <c r="B32" s="272" t="s">
        <v>55</v>
      </c>
      <c r="C32" s="272"/>
      <c r="D32" s="288" t="s">
        <v>63</v>
      </c>
      <c r="E32" s="288"/>
      <c r="F32" s="288"/>
      <c r="G32" s="288"/>
      <c r="H32" s="288"/>
      <c r="I32" s="288"/>
      <c r="J32" s="288"/>
      <c r="K32" s="288"/>
      <c r="L32" s="288"/>
      <c r="M32" s="288"/>
      <c r="N32" s="288"/>
      <c r="O32" s="288"/>
      <c r="P32" s="288"/>
      <c r="Q32" s="288"/>
      <c r="R32" s="80"/>
      <c r="S32" s="80"/>
      <c r="T32" s="95"/>
      <c r="U32" s="294"/>
      <c r="V32" s="294"/>
      <c r="W32" s="331"/>
      <c r="X32" s="332"/>
      <c r="Y32" s="333"/>
      <c r="AA32" s="226"/>
      <c r="AC32" s="216"/>
      <c r="AD32" s="190"/>
      <c r="AE32" s="191"/>
      <c r="AF32" s="196"/>
      <c r="AG32" s="191"/>
    </row>
    <row r="33" spans="1:33" s="34" customFormat="1" ht="10.15" customHeight="1">
      <c r="A33" s="46">
        <v>4</v>
      </c>
      <c r="B33" s="272" t="s">
        <v>55</v>
      </c>
      <c r="C33" s="272"/>
      <c r="D33" s="288" t="s">
        <v>64</v>
      </c>
      <c r="E33" s="288"/>
      <c r="F33" s="288"/>
      <c r="G33" s="288"/>
      <c r="H33" s="288"/>
      <c r="I33" s="288"/>
      <c r="J33" s="288"/>
      <c r="K33" s="288"/>
      <c r="L33" s="288"/>
      <c r="M33" s="288"/>
      <c r="N33" s="288"/>
      <c r="O33" s="288"/>
      <c r="P33" s="288"/>
      <c r="Q33" s="288"/>
      <c r="R33" s="80"/>
      <c r="S33" s="80"/>
      <c r="T33" s="95"/>
      <c r="U33" s="294"/>
      <c r="V33" s="294"/>
      <c r="W33" s="331"/>
      <c r="X33" s="332"/>
      <c r="Y33" s="333"/>
      <c r="AA33" s="226"/>
      <c r="AC33" s="216"/>
      <c r="AD33" s="190"/>
      <c r="AE33" s="191"/>
      <c r="AF33" s="196"/>
      <c r="AG33" s="191"/>
    </row>
    <row r="34" spans="1:33" s="34" customFormat="1" ht="10.15" customHeight="1">
      <c r="A34" s="49">
        <v>5</v>
      </c>
      <c r="B34" s="291" t="s">
        <v>55</v>
      </c>
      <c r="C34" s="291"/>
      <c r="D34" s="310" t="s">
        <v>65</v>
      </c>
      <c r="E34" s="310"/>
      <c r="F34" s="310"/>
      <c r="G34" s="310"/>
      <c r="H34" s="310"/>
      <c r="I34" s="310"/>
      <c r="J34" s="310"/>
      <c r="K34" s="310"/>
      <c r="L34" s="310"/>
      <c r="M34" s="310"/>
      <c r="N34" s="310"/>
      <c r="O34" s="310"/>
      <c r="P34" s="310"/>
      <c r="Q34" s="310"/>
      <c r="R34" s="81"/>
      <c r="S34" s="81"/>
      <c r="T34" s="96"/>
      <c r="U34" s="321"/>
      <c r="V34" s="321"/>
      <c r="W34" s="334"/>
      <c r="X34" s="335"/>
      <c r="Y34" s="336"/>
      <c r="AA34" s="226"/>
      <c r="AC34" s="216"/>
      <c r="AD34" s="190" t="s">
        <v>66</v>
      </c>
      <c r="AE34" s="192" t="s">
        <v>67</v>
      </c>
      <c r="AF34" s="197" t="s">
        <v>68</v>
      </c>
      <c r="AG34" s="192"/>
    </row>
    <row r="35" spans="1:33" s="34" customFormat="1" ht="10.15" customHeight="1">
      <c r="A35" s="45">
        <v>6</v>
      </c>
      <c r="B35" s="345"/>
      <c r="C35" s="345"/>
      <c r="D35" s="353"/>
      <c r="E35" s="353"/>
      <c r="F35" s="353"/>
      <c r="G35" s="353"/>
      <c r="H35" s="353"/>
      <c r="I35" s="353"/>
      <c r="J35" s="353"/>
      <c r="K35" s="353"/>
      <c r="L35" s="353"/>
      <c r="M35" s="353"/>
      <c r="N35" s="353"/>
      <c r="O35" s="353"/>
      <c r="P35" s="353"/>
      <c r="Q35" s="353"/>
      <c r="R35" s="76"/>
      <c r="S35" s="76"/>
      <c r="T35" s="224" t="str">
        <f>IF(AF35=2,IF(COUNTA(R35:S35)=2,ROUND(AVERAGE(R35:S35),0),""),"")</f>
        <v/>
      </c>
      <c r="U35" s="354" t="str">
        <f t="shared" ref="U35:U41" si="0">IF(T35&lt;&gt;"",IF(T35&lt;75,"FAILED","PASSED"),"")</f>
        <v/>
      </c>
      <c r="V35" s="355"/>
      <c r="W35" s="318" t="str">
        <f>_xlfn.IFNA(_xlfn.XLOOKUP(AF35,HELPER_SUBJECTS!$I$13:$I$14,HELPER_SUBJECTS!$J$13:$J$14),"")</f>
        <v/>
      </c>
      <c r="X35" s="319"/>
      <c r="Y35" s="320"/>
      <c r="AA35" s="226"/>
      <c r="AC35" s="216" t="str">
        <f>IF(B35="ACADEMIC",HELPER_SUBJECTS!$S$4,IF(B35="TECHPRO",HELPER_SUBJECTS!$T$4,""))</f>
        <v/>
      </c>
      <c r="AD35" s="191">
        <f>_xlfn.IFNA(_xlfn.XLOOKUP(D35,HELPER_SUBJECTS!D:D,HELPER_SUBJECTS!F:F),0)</f>
        <v>0</v>
      </c>
      <c r="AE35" s="191">
        <f>_xlfn.IFNA(IF(D35&lt;&gt;"",_xlfn.XLOOKUP(D35,ANNEX!$F$52:$F$61,ANNEX!$H$52:$H$61),0),0)</f>
        <v>0</v>
      </c>
      <c r="AF35" s="196">
        <f t="shared" ref="AF35:AF41" si="1">IF(AND(AD35&gt;0,AE35=0),AD35,IF(AND(AE35&gt;0,AD35=0),AE35,0))</f>
        <v>0</v>
      </c>
      <c r="AG35" s="191"/>
    </row>
    <row r="36" spans="1:33" s="34" customFormat="1" ht="10.15" customHeight="1">
      <c r="A36" s="46">
        <v>7</v>
      </c>
      <c r="B36" s="240"/>
      <c r="C36" s="240"/>
      <c r="D36" s="237"/>
      <c r="E36" s="238"/>
      <c r="F36" s="238"/>
      <c r="G36" s="238"/>
      <c r="H36" s="238"/>
      <c r="I36" s="238"/>
      <c r="J36" s="238"/>
      <c r="K36" s="238"/>
      <c r="L36" s="238"/>
      <c r="M36" s="238"/>
      <c r="N36" s="238"/>
      <c r="O36" s="238"/>
      <c r="P36" s="238"/>
      <c r="Q36" s="239"/>
      <c r="R36" s="77"/>
      <c r="S36" s="77"/>
      <c r="T36" s="213" t="str">
        <f t="shared" ref="T36:T41" si="2">IF(AF36=2,IF(COUNTA(R36:S36)=2,ROUND(AVERAGE(R36:S36),0),""),"")</f>
        <v/>
      </c>
      <c r="U36" s="236" t="str">
        <f t="shared" si="0"/>
        <v/>
      </c>
      <c r="V36" s="236"/>
      <c r="W36" s="233" t="str">
        <f>_xlfn.IFNA(_xlfn.XLOOKUP(AD36,HELPER_SUBJECTS!$I$13:$I$14,HELPER_SUBJECTS!$J$13:$J$14),"")</f>
        <v/>
      </c>
      <c r="X36" s="234"/>
      <c r="Y36" s="235"/>
      <c r="AA36" s="226"/>
      <c r="AC36" s="216" t="str">
        <f>IF(B36="ACADEMIC",HELPER_SUBJECTS!$S$4,IF(B36="TECHPRO",HELPER_SUBJECTS!$T$4,""))</f>
        <v/>
      </c>
      <c r="AD36" s="191">
        <f>_xlfn.IFNA(_xlfn.XLOOKUP(D36,HELPER_SUBJECTS!D:D,HELPER_SUBJECTS!F:F),0)</f>
        <v>0</v>
      </c>
      <c r="AE36" s="191">
        <f>_xlfn.IFNA(IF(D36&lt;&gt;"",_xlfn.XLOOKUP(D36,ANNEX!$F$52:$F$61,ANNEX!$H$52:$H$61),0),0)</f>
        <v>0</v>
      </c>
      <c r="AF36" s="196">
        <f t="shared" si="1"/>
        <v>0</v>
      </c>
      <c r="AG36" s="191"/>
    </row>
    <row r="37" spans="1:33" s="34" customFormat="1" ht="10.15" customHeight="1">
      <c r="A37" s="46">
        <v>8</v>
      </c>
      <c r="B37" s="240"/>
      <c r="C37" s="240"/>
      <c r="D37" s="237"/>
      <c r="E37" s="238"/>
      <c r="F37" s="238"/>
      <c r="G37" s="238"/>
      <c r="H37" s="238"/>
      <c r="I37" s="238"/>
      <c r="J37" s="238"/>
      <c r="K37" s="238"/>
      <c r="L37" s="238"/>
      <c r="M37" s="238"/>
      <c r="N37" s="238"/>
      <c r="O37" s="238"/>
      <c r="P37" s="238"/>
      <c r="Q37" s="239"/>
      <c r="R37" s="77"/>
      <c r="S37" s="77"/>
      <c r="T37" s="213" t="str">
        <f t="shared" si="2"/>
        <v/>
      </c>
      <c r="U37" s="236" t="str">
        <f t="shared" si="0"/>
        <v/>
      </c>
      <c r="V37" s="236"/>
      <c r="W37" s="233" t="str">
        <f>_xlfn.IFNA(_xlfn.XLOOKUP(AD37,HELPER_SUBJECTS!$I$13:$I$14,HELPER_SUBJECTS!$J$13:$J$14),"")</f>
        <v/>
      </c>
      <c r="X37" s="234"/>
      <c r="Y37" s="235"/>
      <c r="AA37" s="226"/>
      <c r="AC37" s="216" t="str">
        <f>IF(B37="ACADEMIC",HELPER_SUBJECTS!$S$4,IF(B37="TECHPRO",HELPER_SUBJECTS!$T$4,""))</f>
        <v/>
      </c>
      <c r="AD37" s="191">
        <f>_xlfn.IFNA(_xlfn.XLOOKUP(D37,HELPER_SUBJECTS!D:D,HELPER_SUBJECTS!F:F),0)</f>
        <v>0</v>
      </c>
      <c r="AE37" s="191">
        <f>_xlfn.IFNA(IF(D37&lt;&gt;"",_xlfn.XLOOKUP(D37,ANNEX!$F$52:$F$61,ANNEX!$H$52:$H$61),0),0)</f>
        <v>0</v>
      </c>
      <c r="AF37" s="196">
        <f t="shared" si="1"/>
        <v>0</v>
      </c>
      <c r="AG37" s="191"/>
    </row>
    <row r="38" spans="1:33" s="34" customFormat="1" ht="10.15" customHeight="1">
      <c r="A38" s="46">
        <v>9</v>
      </c>
      <c r="B38" s="240"/>
      <c r="C38" s="240"/>
      <c r="D38" s="237"/>
      <c r="E38" s="238"/>
      <c r="F38" s="238"/>
      <c r="G38" s="238"/>
      <c r="H38" s="238"/>
      <c r="I38" s="238"/>
      <c r="J38" s="238"/>
      <c r="K38" s="238"/>
      <c r="L38" s="238"/>
      <c r="M38" s="238"/>
      <c r="N38" s="238"/>
      <c r="O38" s="238"/>
      <c r="P38" s="238"/>
      <c r="Q38" s="239"/>
      <c r="R38" s="77"/>
      <c r="S38" s="77"/>
      <c r="T38" s="213" t="str">
        <f t="shared" si="2"/>
        <v/>
      </c>
      <c r="U38" s="236" t="str">
        <f t="shared" si="0"/>
        <v/>
      </c>
      <c r="V38" s="236"/>
      <c r="W38" s="233" t="str">
        <f>_xlfn.IFNA(_xlfn.XLOOKUP(AD38,HELPER_SUBJECTS!$I$13:$I$14,HELPER_SUBJECTS!$J$13:$J$14),"")</f>
        <v/>
      </c>
      <c r="X38" s="234"/>
      <c r="Y38" s="235"/>
      <c r="AA38" s="226"/>
      <c r="AC38" s="216" t="str">
        <f>IF(B38="ACADEMIC",HELPER_SUBJECTS!$S$4,IF(B38="TECHPRO",HELPER_SUBJECTS!$T$4,""))</f>
        <v/>
      </c>
      <c r="AD38" s="191">
        <f>_xlfn.IFNA(_xlfn.XLOOKUP(D38,HELPER_SUBJECTS!D:D,HELPER_SUBJECTS!F:F),0)</f>
        <v>0</v>
      </c>
      <c r="AE38" s="191">
        <f>_xlfn.IFNA(IF(D38&lt;&gt;"",_xlfn.XLOOKUP(D38,ANNEX!$F$52:$F$61,ANNEX!$H$52:$H$61),0),0)</f>
        <v>0</v>
      </c>
      <c r="AF38" s="196">
        <f t="shared" si="1"/>
        <v>0</v>
      </c>
      <c r="AG38" s="191"/>
    </row>
    <row r="39" spans="1:33" s="34" customFormat="1" ht="10.15" customHeight="1">
      <c r="A39" s="46">
        <v>10</v>
      </c>
      <c r="B39" s="240"/>
      <c r="C39" s="240"/>
      <c r="D39" s="237"/>
      <c r="E39" s="238"/>
      <c r="F39" s="238"/>
      <c r="G39" s="238"/>
      <c r="H39" s="238"/>
      <c r="I39" s="238"/>
      <c r="J39" s="238"/>
      <c r="K39" s="238"/>
      <c r="L39" s="238"/>
      <c r="M39" s="238"/>
      <c r="N39" s="238"/>
      <c r="O39" s="238"/>
      <c r="P39" s="238"/>
      <c r="Q39" s="239"/>
      <c r="R39" s="77"/>
      <c r="S39" s="77"/>
      <c r="T39" s="213" t="str">
        <f t="shared" si="2"/>
        <v/>
      </c>
      <c r="U39" s="236" t="str">
        <f t="shared" si="0"/>
        <v/>
      </c>
      <c r="V39" s="236"/>
      <c r="W39" s="233" t="str">
        <f>_xlfn.IFNA(_xlfn.XLOOKUP(AD39,HELPER_SUBJECTS!$I$13:$I$14,HELPER_SUBJECTS!$J$13:$J$14),"")</f>
        <v/>
      </c>
      <c r="X39" s="234"/>
      <c r="Y39" s="235"/>
      <c r="AA39" s="226"/>
      <c r="AC39" s="216" t="str">
        <f>IF(B39="ACADEMIC",HELPER_SUBJECTS!$S$4,IF(B39="TECHPRO",HELPER_SUBJECTS!$T$4,""))</f>
        <v/>
      </c>
      <c r="AD39" s="191">
        <f>_xlfn.IFNA(_xlfn.XLOOKUP(D39,HELPER_SUBJECTS!D:D,HELPER_SUBJECTS!F:F),0)</f>
        <v>0</v>
      </c>
      <c r="AE39" s="191">
        <f>_xlfn.IFNA(IF(D39&lt;&gt;"",_xlfn.XLOOKUP(D39,ANNEX!$F$52:$F$61,ANNEX!$H$52:$H$61),0),0)</f>
        <v>0</v>
      </c>
      <c r="AF39" s="196">
        <f t="shared" si="1"/>
        <v>0</v>
      </c>
      <c r="AG39" s="191"/>
    </row>
    <row r="40" spans="1:33" s="34" customFormat="1" ht="10.15" customHeight="1">
      <c r="A40" s="46">
        <v>11</v>
      </c>
      <c r="B40" s="240"/>
      <c r="C40" s="240"/>
      <c r="D40" s="237"/>
      <c r="E40" s="238"/>
      <c r="F40" s="238"/>
      <c r="G40" s="238"/>
      <c r="H40" s="238"/>
      <c r="I40" s="238"/>
      <c r="J40" s="238"/>
      <c r="K40" s="238"/>
      <c r="L40" s="238"/>
      <c r="M40" s="238"/>
      <c r="N40" s="238"/>
      <c r="O40" s="238"/>
      <c r="P40" s="238"/>
      <c r="Q40" s="239"/>
      <c r="R40" s="77"/>
      <c r="S40" s="77"/>
      <c r="T40" s="213" t="str">
        <f t="shared" si="2"/>
        <v/>
      </c>
      <c r="U40" s="236" t="str">
        <f t="shared" si="0"/>
        <v/>
      </c>
      <c r="V40" s="236"/>
      <c r="W40" s="233" t="str">
        <f>_xlfn.IFNA(_xlfn.XLOOKUP(AD40,HELPER_SUBJECTS!$I$13:$I$14,HELPER_SUBJECTS!$J$13:$J$14),"")</f>
        <v/>
      </c>
      <c r="X40" s="234"/>
      <c r="Y40" s="235"/>
      <c r="AA40" s="226"/>
      <c r="AC40" s="216" t="str">
        <f>IF(B40="ACADEMIC",HELPER_SUBJECTS!$S$4,IF(B40="TECHPRO",HELPER_SUBJECTS!$T$4,""))</f>
        <v/>
      </c>
      <c r="AD40" s="191">
        <f>_xlfn.IFNA(_xlfn.XLOOKUP(D40,HELPER_SUBJECTS!D:D,HELPER_SUBJECTS!F:F),0)</f>
        <v>0</v>
      </c>
      <c r="AE40" s="191">
        <f>_xlfn.IFNA(IF(D40&lt;&gt;"",_xlfn.XLOOKUP(D40,ANNEX!$F$52:$F$61,ANNEX!$H$52:$H$61),0),0)</f>
        <v>0</v>
      </c>
      <c r="AF40" s="196">
        <f t="shared" si="1"/>
        <v>0</v>
      </c>
      <c r="AG40" s="191"/>
    </row>
    <row r="41" spans="1:33" s="34" customFormat="1" ht="10.15" customHeight="1">
      <c r="A41" s="49">
        <v>12</v>
      </c>
      <c r="B41" s="348"/>
      <c r="C41" s="348"/>
      <c r="D41" s="356"/>
      <c r="E41" s="357"/>
      <c r="F41" s="357"/>
      <c r="G41" s="357"/>
      <c r="H41" s="357"/>
      <c r="I41" s="357"/>
      <c r="J41" s="357"/>
      <c r="K41" s="357"/>
      <c r="L41" s="357"/>
      <c r="M41" s="357"/>
      <c r="N41" s="357"/>
      <c r="O41" s="357"/>
      <c r="P41" s="357"/>
      <c r="Q41" s="358"/>
      <c r="R41" s="78"/>
      <c r="S41" s="78"/>
      <c r="T41" s="215" t="str">
        <f t="shared" si="2"/>
        <v/>
      </c>
      <c r="U41" s="289" t="str">
        <f t="shared" si="0"/>
        <v/>
      </c>
      <c r="V41" s="289"/>
      <c r="W41" s="350" t="str">
        <f>_xlfn.IFNA(_xlfn.XLOOKUP(AD41,HELPER_SUBJECTS!$I$13:$I$14,HELPER_SUBJECTS!$J$13:$J$14),"")</f>
        <v/>
      </c>
      <c r="X41" s="351"/>
      <c r="Y41" s="352"/>
      <c r="AA41" s="226"/>
      <c r="AC41" s="216" t="str">
        <f>IF(B41="ACADEMIC",HELPER_SUBJECTS!$S$4,IF(B41="TECHPRO",HELPER_SUBJECTS!$T$4,""))</f>
        <v/>
      </c>
      <c r="AD41" s="191">
        <f>_xlfn.IFNA(_xlfn.XLOOKUP(D41,HELPER_SUBJECTS!D:D,HELPER_SUBJECTS!F:F),0)</f>
        <v>0</v>
      </c>
      <c r="AE41" s="191">
        <f>_xlfn.IFNA(IF(D41&lt;&gt;"",_xlfn.XLOOKUP(D41,ANNEX!$F$52:$F$61,ANNEX!$H$52:$H$61),0),0)</f>
        <v>0</v>
      </c>
      <c r="AF41" s="196">
        <f t="shared" si="1"/>
        <v>0</v>
      </c>
      <c r="AG41" s="191"/>
    </row>
    <row r="42" spans="1:33" ht="4.9000000000000004" customHeight="1">
      <c r="AA42" s="226"/>
      <c r="AC42" s="216"/>
      <c r="AD42" s="191"/>
    </row>
    <row r="43" spans="1:33" s="34" customFormat="1" ht="10.15" customHeight="1">
      <c r="A43" s="139" t="s">
        <v>69</v>
      </c>
      <c r="B43" s="19"/>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AA43" s="226"/>
      <c r="AC43" s="216"/>
      <c r="AD43" s="191"/>
      <c r="AE43" s="191"/>
      <c r="AF43" s="196"/>
      <c r="AG43" s="191"/>
    </row>
    <row r="44" spans="1:33" s="34" customFormat="1" ht="4.9000000000000004"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AA44" s="226"/>
      <c r="AC44" s="216"/>
      <c r="AD44" s="191"/>
      <c r="AE44" s="191"/>
      <c r="AF44" s="196"/>
      <c r="AG44" s="191"/>
    </row>
    <row r="45" spans="1:33" s="34" customFormat="1" ht="13.9">
      <c r="A45" s="139" t="s">
        <v>70</v>
      </c>
      <c r="B45" s="19"/>
      <c r="C45" s="19"/>
      <c r="D45" s="19"/>
      <c r="E45" s="19"/>
      <c r="F45" s="19"/>
      <c r="G45" s="19"/>
      <c r="H45" s="19"/>
      <c r="I45" s="19"/>
      <c r="J45" s="19"/>
      <c r="K45" s="19"/>
      <c r="L45" s="143" t="s">
        <v>71</v>
      </c>
      <c r="M45" s="17"/>
      <c r="N45" s="17"/>
      <c r="O45" s="19"/>
      <c r="P45" s="19"/>
      <c r="Q45" s="19"/>
      <c r="R45" s="19"/>
      <c r="S45" s="19"/>
      <c r="T45" s="19"/>
      <c r="U45" s="19"/>
      <c r="V45" s="19"/>
      <c r="W45" s="144" t="s">
        <v>72</v>
      </c>
      <c r="X45" s="21"/>
      <c r="Y45" s="21"/>
      <c r="AA45" s="226"/>
      <c r="AC45" s="216"/>
      <c r="AD45" s="191"/>
      <c r="AE45" s="191"/>
      <c r="AF45" s="196"/>
      <c r="AG45" s="191"/>
    </row>
    <row r="46" spans="1:33" s="34" customFormat="1" ht="13.15">
      <c r="A46" s="242"/>
      <c r="B46" s="242"/>
      <c r="C46" s="242"/>
      <c r="D46" s="242"/>
      <c r="E46" s="242"/>
      <c r="F46" s="242"/>
      <c r="G46" s="242"/>
      <c r="H46" s="242"/>
      <c r="I46" s="242"/>
      <c r="J46" s="242"/>
      <c r="K46" s="19"/>
      <c r="L46" s="242"/>
      <c r="M46" s="242"/>
      <c r="N46" s="242"/>
      <c r="O46" s="242"/>
      <c r="P46" s="242"/>
      <c r="Q46" s="242"/>
      <c r="R46" s="242"/>
      <c r="S46" s="242"/>
      <c r="T46" s="242"/>
      <c r="U46" s="242"/>
      <c r="V46" s="19"/>
      <c r="W46" s="243"/>
      <c r="X46" s="243"/>
      <c r="Y46" s="243"/>
      <c r="AA46" s="226"/>
      <c r="AC46" s="216"/>
      <c r="AD46" s="191"/>
      <c r="AE46" s="191"/>
      <c r="AF46" s="196"/>
      <c r="AG46" s="191"/>
    </row>
    <row r="47" spans="1:33" s="158" customFormat="1" ht="10.9" thickBot="1">
      <c r="A47" s="155" t="s">
        <v>73</v>
      </c>
      <c r="B47" s="47"/>
      <c r="C47" s="47"/>
      <c r="D47" s="47"/>
      <c r="E47" s="47"/>
      <c r="F47" s="47"/>
      <c r="G47" s="47"/>
      <c r="H47" s="47"/>
      <c r="I47" s="47"/>
      <c r="J47" s="47"/>
      <c r="K47" s="48"/>
      <c r="L47" s="155" t="s">
        <v>74</v>
      </c>
      <c r="M47" s="156"/>
      <c r="N47" s="156"/>
      <c r="O47" s="47"/>
      <c r="P47" s="47"/>
      <c r="Q47" s="47"/>
      <c r="R47" s="47"/>
      <c r="S47" s="47"/>
      <c r="T47" s="47"/>
      <c r="U47" s="47"/>
      <c r="V47" s="48"/>
      <c r="W47" s="299" t="s">
        <v>14</v>
      </c>
      <c r="X47" s="299"/>
      <c r="Y47" s="299"/>
      <c r="Z47" s="2"/>
      <c r="AA47" s="226"/>
      <c r="AB47" s="2"/>
      <c r="AC47" s="157"/>
      <c r="AD47" s="191"/>
      <c r="AE47" s="193"/>
      <c r="AF47" s="198"/>
      <c r="AG47" s="193"/>
    </row>
    <row r="48" spans="1:33" s="38" customFormat="1" ht="4.9000000000000004" customHeight="1">
      <c r="A48" s="37"/>
      <c r="B48" s="36"/>
      <c r="C48" s="37"/>
      <c r="D48" s="37"/>
      <c r="E48" s="37"/>
      <c r="F48" s="37"/>
      <c r="G48" s="37"/>
      <c r="H48" s="37"/>
      <c r="I48" s="37"/>
      <c r="J48" s="37"/>
      <c r="K48" s="37"/>
      <c r="L48" s="37"/>
      <c r="M48" s="37"/>
      <c r="N48" s="37"/>
      <c r="O48" s="37"/>
      <c r="P48" s="37"/>
      <c r="Q48" s="37"/>
      <c r="R48" s="37"/>
      <c r="S48" s="37"/>
      <c r="T48" s="37"/>
      <c r="U48" s="37"/>
      <c r="V48" s="37"/>
      <c r="W48" s="37"/>
      <c r="X48" s="37"/>
      <c r="Y48" s="37"/>
      <c r="Z48" s="22"/>
      <c r="AA48" s="226"/>
      <c r="AB48" s="22"/>
      <c r="AC48" s="216"/>
      <c r="AD48" s="191"/>
      <c r="AE48" s="191"/>
      <c r="AF48" s="196"/>
      <c r="AG48" s="191"/>
    </row>
    <row r="49" spans="1:33" s="19" customFormat="1" ht="13.15">
      <c r="A49" s="102" t="s">
        <v>75</v>
      </c>
      <c r="B49" s="18"/>
      <c r="C49" s="17"/>
      <c r="D49" s="17"/>
      <c r="E49" s="17"/>
      <c r="F49" s="17"/>
      <c r="G49" s="146" t="s">
        <v>76</v>
      </c>
      <c r="H49" s="232"/>
      <c r="I49" s="232"/>
      <c r="J49" s="232"/>
      <c r="K49" s="145" t="s">
        <v>77</v>
      </c>
      <c r="L49" s="232"/>
      <c r="M49" s="232"/>
      <c r="N49" s="232"/>
      <c r="O49" s="17"/>
      <c r="P49" s="146" t="s">
        <v>78</v>
      </c>
      <c r="Q49" s="260"/>
      <c r="R49" s="260"/>
      <c r="S49" s="260"/>
      <c r="T49" s="260"/>
      <c r="U49" s="260"/>
      <c r="V49" s="32"/>
      <c r="W49" s="146" t="s">
        <v>79</v>
      </c>
      <c r="X49" s="232"/>
      <c r="Y49" s="232"/>
      <c r="AA49" s="226"/>
      <c r="AC49" s="216"/>
      <c r="AD49" s="191"/>
      <c r="AE49" s="191"/>
      <c r="AF49" s="196"/>
      <c r="AG49" s="191"/>
    </row>
    <row r="50" spans="1:33" s="34" customFormat="1" ht="11.45">
      <c r="B50" s="35"/>
      <c r="E50" s="159"/>
      <c r="F50" s="38"/>
      <c r="G50" s="38"/>
      <c r="H50" s="360" t="s">
        <v>14</v>
      </c>
      <c r="I50" s="360"/>
      <c r="J50" s="360"/>
      <c r="K50" s="38"/>
      <c r="L50" s="360" t="s">
        <v>14</v>
      </c>
      <c r="M50" s="360"/>
      <c r="N50" s="360"/>
      <c r="O50" s="38"/>
      <c r="AA50" s="226"/>
      <c r="AC50" s="216"/>
      <c r="AD50" s="191"/>
      <c r="AE50" s="191"/>
      <c r="AF50" s="196"/>
      <c r="AG50" s="191"/>
    </row>
    <row r="51" spans="1:33" s="34" customFormat="1" ht="10.15" customHeight="1">
      <c r="A51" s="296" t="s">
        <v>43</v>
      </c>
      <c r="B51" s="296"/>
      <c r="C51" s="296"/>
      <c r="D51" s="296" t="s">
        <v>44</v>
      </c>
      <c r="E51" s="296"/>
      <c r="F51" s="296"/>
      <c r="G51" s="296"/>
      <c r="H51" s="296"/>
      <c r="I51" s="296"/>
      <c r="J51" s="296"/>
      <c r="K51" s="296"/>
      <c r="L51" s="296"/>
      <c r="M51" s="296"/>
      <c r="N51" s="296"/>
      <c r="O51" s="296"/>
      <c r="P51" s="296"/>
      <c r="Q51" s="296"/>
      <c r="R51" s="365" t="s">
        <v>80</v>
      </c>
      <c r="S51" s="367" t="s">
        <v>81</v>
      </c>
      <c r="T51" s="369" t="s">
        <v>82</v>
      </c>
      <c r="U51" s="359" t="s">
        <v>49</v>
      </c>
      <c r="V51" s="359"/>
      <c r="W51" s="311" t="s">
        <v>47</v>
      </c>
      <c r="X51" s="311"/>
      <c r="Y51" s="311"/>
      <c r="AA51" s="226"/>
      <c r="AC51" s="216"/>
      <c r="AD51" s="191"/>
      <c r="AE51" s="191"/>
      <c r="AF51" s="196"/>
      <c r="AG51" s="191"/>
    </row>
    <row r="52" spans="1:33" s="34" customFormat="1" ht="12" customHeight="1">
      <c r="A52" s="297" t="s">
        <v>50</v>
      </c>
      <c r="B52" s="297"/>
      <c r="C52" s="297"/>
      <c r="D52" s="297" t="s">
        <v>51</v>
      </c>
      <c r="E52" s="297"/>
      <c r="F52" s="297"/>
      <c r="G52" s="297"/>
      <c r="H52" s="297"/>
      <c r="I52" s="297"/>
      <c r="J52" s="297"/>
      <c r="K52" s="297"/>
      <c r="L52" s="297"/>
      <c r="M52" s="297"/>
      <c r="N52" s="297"/>
      <c r="O52" s="297"/>
      <c r="P52" s="297"/>
      <c r="Q52" s="297"/>
      <c r="R52" s="366"/>
      <c r="S52" s="368"/>
      <c r="T52" s="370"/>
      <c r="U52" s="359"/>
      <c r="V52" s="359"/>
      <c r="W52" s="311"/>
      <c r="X52" s="311"/>
      <c r="Y52" s="311"/>
      <c r="AA52" s="226"/>
      <c r="AC52" s="216"/>
      <c r="AD52" s="191"/>
      <c r="AE52" s="191"/>
      <c r="AF52" s="196"/>
      <c r="AG52" s="191"/>
    </row>
    <row r="53" spans="1:33" s="34" customFormat="1" ht="10.15" customHeight="1">
      <c r="A53" s="45">
        <v>1</v>
      </c>
      <c r="B53" s="240"/>
      <c r="C53" s="240"/>
      <c r="D53" s="353"/>
      <c r="E53" s="353"/>
      <c r="F53" s="353"/>
      <c r="G53" s="353"/>
      <c r="H53" s="353"/>
      <c r="I53" s="353"/>
      <c r="J53" s="353"/>
      <c r="K53" s="353"/>
      <c r="L53" s="353"/>
      <c r="M53" s="353"/>
      <c r="N53" s="353"/>
      <c r="O53" s="353"/>
      <c r="P53" s="353"/>
      <c r="Q53" s="353"/>
      <c r="R53" s="76"/>
      <c r="S53" s="76"/>
      <c r="T53" s="54" t="str">
        <f t="shared" ref="T53:T56" si="3">IF(OR(R53="",S53=""),"",IF(ISERROR(ROUND(AVERAGE(R53,S53),0)),"",ROUND(AVERAGE(R53,S53),0)))</f>
        <v/>
      </c>
      <c r="U53" s="298" t="str">
        <f t="shared" ref="U53:U56" si="4">IF(T53&lt;&gt;"",IF(T53&lt;75,"FAILED","PASSED"),"")</f>
        <v/>
      </c>
      <c r="V53" s="298"/>
      <c r="W53" s="308"/>
      <c r="X53" s="308"/>
      <c r="Y53" s="308"/>
      <c r="AA53" s="226"/>
      <c r="AC53" s="216" t="str">
        <f>IF(B53="CORE",HELPER_SUBJECTS!$M$4,IF(B53="ACADEMIC",HELPER_SUBJECTS!$S$4,IF(B53="TECHPRO",HELPER_SUBJECTS!$T$4,"")))</f>
        <v/>
      </c>
      <c r="AD53" s="191"/>
      <c r="AE53" s="191"/>
      <c r="AF53" s="196"/>
      <c r="AG53" s="191"/>
    </row>
    <row r="54" spans="1:33" s="34" customFormat="1" ht="10.15" customHeight="1">
      <c r="A54" s="46">
        <v>2</v>
      </c>
      <c r="B54" s="240"/>
      <c r="C54" s="240"/>
      <c r="D54" s="288"/>
      <c r="E54" s="288"/>
      <c r="F54" s="288"/>
      <c r="G54" s="288"/>
      <c r="H54" s="288"/>
      <c r="I54" s="288"/>
      <c r="J54" s="288"/>
      <c r="K54" s="288"/>
      <c r="L54" s="288"/>
      <c r="M54" s="288"/>
      <c r="N54" s="288"/>
      <c r="O54" s="288"/>
      <c r="P54" s="288"/>
      <c r="Q54" s="288"/>
      <c r="R54" s="80"/>
      <c r="S54" s="80"/>
      <c r="T54" s="54" t="str">
        <f t="shared" si="3"/>
        <v/>
      </c>
      <c r="U54" s="347" t="str">
        <f t="shared" si="4"/>
        <v/>
      </c>
      <c r="V54" s="347"/>
      <c r="W54" s="259"/>
      <c r="X54" s="259"/>
      <c r="Y54" s="259"/>
      <c r="AA54" s="226"/>
      <c r="AC54" s="216" t="str">
        <f>IF(B54="CORE",HELPER_SUBJECTS!$M$4,IF(B54="ACADEMIC",HELPER_SUBJECTS!$S$4,IF(B54="TECHPRO",HELPER_SUBJECTS!$T$4,"")))</f>
        <v/>
      </c>
      <c r="AD54" s="190"/>
      <c r="AE54" s="191"/>
      <c r="AF54" s="196"/>
      <c r="AG54" s="191"/>
    </row>
    <row r="55" spans="1:33" s="34" customFormat="1" ht="10.15" customHeight="1">
      <c r="A55" s="46">
        <v>3</v>
      </c>
      <c r="B55" s="240"/>
      <c r="C55" s="240"/>
      <c r="D55" s="288"/>
      <c r="E55" s="288"/>
      <c r="F55" s="288"/>
      <c r="G55" s="288"/>
      <c r="H55" s="288"/>
      <c r="I55" s="288"/>
      <c r="J55" s="288"/>
      <c r="K55" s="288"/>
      <c r="L55" s="288"/>
      <c r="M55" s="288"/>
      <c r="N55" s="288"/>
      <c r="O55" s="288"/>
      <c r="P55" s="288"/>
      <c r="Q55" s="288"/>
      <c r="R55" s="80"/>
      <c r="S55" s="80"/>
      <c r="T55" s="54" t="str">
        <f t="shared" si="3"/>
        <v/>
      </c>
      <c r="U55" s="347" t="str">
        <f t="shared" si="4"/>
        <v/>
      </c>
      <c r="V55" s="347"/>
      <c r="W55" s="259"/>
      <c r="X55" s="259"/>
      <c r="Y55" s="259"/>
      <c r="AA55" s="226"/>
      <c r="AC55" s="216" t="str">
        <f>IF(B55="CORE",HELPER_SUBJECTS!$M$4,IF(B55="ACADEMIC",HELPER_SUBJECTS!$S$4,IF(B55="TECHPRO",HELPER_SUBJECTS!$T$4,"")))</f>
        <v/>
      </c>
      <c r="AD55" s="190"/>
      <c r="AE55" s="191"/>
      <c r="AF55" s="196"/>
      <c r="AG55" s="191"/>
    </row>
    <row r="56" spans="1:33" s="34" customFormat="1" ht="10.15" customHeight="1">
      <c r="A56" s="49">
        <v>4</v>
      </c>
      <c r="B56" s="348"/>
      <c r="C56" s="348"/>
      <c r="D56" s="310"/>
      <c r="E56" s="310"/>
      <c r="F56" s="310"/>
      <c r="G56" s="310"/>
      <c r="H56" s="310"/>
      <c r="I56" s="310"/>
      <c r="J56" s="310"/>
      <c r="K56" s="310"/>
      <c r="L56" s="310"/>
      <c r="M56" s="310"/>
      <c r="N56" s="310"/>
      <c r="O56" s="310"/>
      <c r="P56" s="310"/>
      <c r="Q56" s="310"/>
      <c r="R56" s="81"/>
      <c r="S56" s="81"/>
      <c r="T56" s="55" t="str">
        <f t="shared" si="3"/>
        <v/>
      </c>
      <c r="U56" s="349" t="str">
        <f t="shared" si="4"/>
        <v/>
      </c>
      <c r="V56" s="349"/>
      <c r="W56" s="346"/>
      <c r="X56" s="346"/>
      <c r="Y56" s="346"/>
      <c r="AA56" s="226"/>
      <c r="AC56" s="216" t="str">
        <f>IF(B56="CORE",HELPER_SUBJECTS!$M$4,IF(B56="ACADEMIC",HELPER_SUBJECTS!$S$4,IF(B56="TECHPRO",HELPER_SUBJECTS!$T$4,"")))</f>
        <v/>
      </c>
      <c r="AD56" s="190"/>
      <c r="AE56" s="191"/>
      <c r="AF56" s="196"/>
      <c r="AG56" s="191"/>
    </row>
    <row r="57" spans="1:33" s="37" customFormat="1" ht="4.9000000000000004" customHeight="1">
      <c r="B57" s="36"/>
      <c r="AC57" s="216" t="str">
        <f>IF(B57="CORE",HELPER_SUBJECTS!$M$4,IF(B57="ACADEMIC",HELPER_SUBJECTS!$S$4,IF(B57="TECHPRO",HELPER_SUBJECTS!$T$4,"")))</f>
        <v/>
      </c>
      <c r="AD57" s="190"/>
      <c r="AE57" s="191"/>
      <c r="AF57" s="196"/>
      <c r="AG57" s="191"/>
    </row>
    <row r="58" spans="1:33" s="19" customFormat="1" ht="13.15">
      <c r="A58" s="144" t="s">
        <v>83</v>
      </c>
      <c r="B58" s="21"/>
      <c r="D58" s="260" t="s">
        <v>84</v>
      </c>
      <c r="E58" s="260"/>
      <c r="F58" s="260"/>
      <c r="G58" s="260"/>
      <c r="H58" s="260"/>
      <c r="I58" s="260"/>
      <c r="J58" s="260"/>
      <c r="K58" s="260"/>
      <c r="L58" s="260"/>
      <c r="M58" s="260"/>
      <c r="N58" s="260"/>
      <c r="O58" s="260"/>
      <c r="P58" s="260"/>
      <c r="Q58" s="260"/>
      <c r="S58" s="146" t="s">
        <v>85</v>
      </c>
      <c r="T58" s="292"/>
      <c r="U58" s="292"/>
      <c r="V58" s="292"/>
      <c r="W58" s="292"/>
      <c r="X58" s="292"/>
      <c r="Y58" s="292"/>
      <c r="AC58" s="216"/>
      <c r="AD58" s="190"/>
      <c r="AE58" s="191"/>
      <c r="AF58" s="196"/>
      <c r="AG58" s="191"/>
    </row>
    <row r="59" spans="1:33" s="34" customFormat="1" ht="4.9000000000000004" customHeight="1">
      <c r="A59" s="31"/>
      <c r="B59" s="35"/>
      <c r="E59" s="35"/>
      <c r="F59" s="35"/>
      <c r="G59" s="35"/>
      <c r="H59" s="35"/>
      <c r="I59" s="35"/>
      <c r="J59" s="35"/>
      <c r="K59" s="35"/>
      <c r="L59" s="35"/>
      <c r="M59" s="35"/>
      <c r="N59" s="35"/>
      <c r="O59" s="35"/>
      <c r="P59" s="35"/>
      <c r="Q59" s="35"/>
      <c r="R59" s="160"/>
      <c r="T59" s="58"/>
      <c r="U59" s="58"/>
      <c r="V59" s="58"/>
      <c r="W59" s="58"/>
      <c r="X59" s="58"/>
      <c r="Y59" s="58"/>
      <c r="AC59" s="216"/>
      <c r="AD59" s="190"/>
      <c r="AE59" s="191"/>
      <c r="AF59" s="196"/>
      <c r="AG59" s="191"/>
    </row>
    <row r="60" spans="1:33" ht="5.0999999999999996" customHeight="1">
      <c r="A60" s="161"/>
      <c r="B60" s="161"/>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AC60" s="216"/>
    </row>
    <row r="61" spans="1:33" s="19" customFormat="1" ht="13.15" customHeight="1">
      <c r="A61" s="138" t="s">
        <v>34</v>
      </c>
      <c r="B61" s="39"/>
      <c r="C61" s="309"/>
      <c r="D61" s="309"/>
      <c r="E61" s="309"/>
      <c r="F61" s="309"/>
      <c r="G61" s="309"/>
      <c r="H61" s="309"/>
      <c r="I61" s="309"/>
      <c r="J61" s="309"/>
      <c r="K61" s="309"/>
      <c r="M61" s="140" t="s">
        <v>35</v>
      </c>
      <c r="N61" s="232"/>
      <c r="O61" s="232"/>
      <c r="R61" s="140" t="s">
        <v>36</v>
      </c>
      <c r="S61" s="295">
        <v>11</v>
      </c>
      <c r="T61" s="295"/>
      <c r="U61" s="17"/>
      <c r="V61" s="140" t="s">
        <v>37</v>
      </c>
      <c r="W61" s="232"/>
      <c r="X61" s="232"/>
      <c r="Y61" s="232"/>
      <c r="AA61" s="227" t="s">
        <v>86</v>
      </c>
      <c r="AC61" s="216"/>
      <c r="AD61" s="190"/>
      <c r="AE61" s="191"/>
      <c r="AF61" s="196"/>
      <c r="AG61" s="191"/>
    </row>
    <row r="62" spans="1:33" s="19" customFormat="1" ht="13.9">
      <c r="A62" s="139" t="s">
        <v>39</v>
      </c>
      <c r="B62" s="17"/>
      <c r="C62" s="260"/>
      <c r="D62" s="260"/>
      <c r="E62" s="260"/>
      <c r="F62" s="260"/>
      <c r="G62" s="260"/>
      <c r="H62" s="260"/>
      <c r="I62" s="260"/>
      <c r="J62" s="260"/>
      <c r="K62" s="260"/>
      <c r="L62" s="260"/>
      <c r="M62" s="260"/>
      <c r="N62" s="260"/>
      <c r="O62" s="260"/>
      <c r="R62" s="140" t="s">
        <v>40</v>
      </c>
      <c r="S62" s="232"/>
      <c r="T62" s="232"/>
      <c r="U62" s="232"/>
      <c r="V62" s="140" t="s">
        <v>41</v>
      </c>
      <c r="W62" s="317" t="s">
        <v>87</v>
      </c>
      <c r="X62" s="317"/>
      <c r="Y62" s="317"/>
      <c r="AA62" s="227"/>
      <c r="AC62" s="216"/>
      <c r="AD62" s="190"/>
      <c r="AE62" s="191"/>
      <c r="AF62" s="196"/>
      <c r="AG62" s="191"/>
    </row>
    <row r="63" spans="1:33" ht="4.9000000000000004" customHeight="1">
      <c r="AA63" s="227"/>
      <c r="AC63" s="216"/>
    </row>
    <row r="64" spans="1:33" s="34" customFormat="1" ht="10.15" customHeight="1">
      <c r="A64" s="278" t="s">
        <v>43</v>
      </c>
      <c r="B64" s="279"/>
      <c r="C64" s="280"/>
      <c r="D64" s="278" t="s">
        <v>44</v>
      </c>
      <c r="E64" s="279"/>
      <c r="F64" s="279"/>
      <c r="G64" s="279"/>
      <c r="H64" s="279"/>
      <c r="I64" s="279"/>
      <c r="J64" s="279"/>
      <c r="K64" s="279"/>
      <c r="L64" s="279"/>
      <c r="M64" s="279"/>
      <c r="N64" s="279"/>
      <c r="O64" s="279"/>
      <c r="P64" s="279"/>
      <c r="Q64" s="280"/>
      <c r="R64" s="276" t="s">
        <v>45</v>
      </c>
      <c r="S64" s="276"/>
      <c r="T64" s="301" t="s">
        <v>88</v>
      </c>
      <c r="U64" s="301"/>
      <c r="V64" s="301"/>
      <c r="W64" s="302" t="s">
        <v>47</v>
      </c>
      <c r="X64" s="303"/>
      <c r="Y64" s="304"/>
      <c r="AA64" s="227"/>
      <c r="AC64" s="216"/>
      <c r="AD64" s="190"/>
      <c r="AE64" s="191"/>
      <c r="AF64" s="196"/>
      <c r="AG64" s="191"/>
    </row>
    <row r="65" spans="1:33" s="34" customFormat="1" ht="10.15" customHeight="1">
      <c r="A65" s="281"/>
      <c r="B65" s="282"/>
      <c r="C65" s="283"/>
      <c r="D65" s="281"/>
      <c r="E65" s="282"/>
      <c r="F65" s="282"/>
      <c r="G65" s="282"/>
      <c r="H65" s="282"/>
      <c r="I65" s="282"/>
      <c r="J65" s="282"/>
      <c r="K65" s="282"/>
      <c r="L65" s="282"/>
      <c r="M65" s="282"/>
      <c r="N65" s="282"/>
      <c r="O65" s="282"/>
      <c r="P65" s="282"/>
      <c r="Q65" s="283"/>
      <c r="R65" s="276"/>
      <c r="S65" s="276"/>
      <c r="T65" s="276" t="s">
        <v>48</v>
      </c>
      <c r="U65" s="276" t="s">
        <v>49</v>
      </c>
      <c r="V65" s="276"/>
      <c r="W65" s="305"/>
      <c r="X65" s="306"/>
      <c r="Y65" s="307"/>
      <c r="AA65" s="227"/>
      <c r="AC65" s="216"/>
      <c r="AD65" s="190"/>
      <c r="AE65" s="191"/>
      <c r="AF65" s="196"/>
      <c r="AG65" s="191"/>
    </row>
    <row r="66" spans="1:33" s="34" customFormat="1" ht="10.15" customHeight="1">
      <c r="A66" s="277" t="s">
        <v>50</v>
      </c>
      <c r="B66" s="277"/>
      <c r="C66" s="277"/>
      <c r="D66" s="277" t="s">
        <v>51</v>
      </c>
      <c r="E66" s="277"/>
      <c r="F66" s="277"/>
      <c r="G66" s="277"/>
      <c r="H66" s="277"/>
      <c r="I66" s="277"/>
      <c r="J66" s="277"/>
      <c r="K66" s="277"/>
      <c r="L66" s="277"/>
      <c r="M66" s="277"/>
      <c r="N66" s="277"/>
      <c r="O66" s="277"/>
      <c r="P66" s="277"/>
      <c r="Q66" s="277"/>
      <c r="R66" s="220" t="s">
        <v>89</v>
      </c>
      <c r="S66" s="220" t="s">
        <v>90</v>
      </c>
      <c r="T66" s="276"/>
      <c r="U66" s="276"/>
      <c r="V66" s="276"/>
      <c r="W66" s="337" t="s">
        <v>54</v>
      </c>
      <c r="X66" s="338"/>
      <c r="Y66" s="339"/>
      <c r="AA66" s="227"/>
      <c r="AC66" s="216"/>
      <c r="AD66" s="190"/>
      <c r="AE66" s="191"/>
      <c r="AF66" s="196"/>
      <c r="AG66" s="191"/>
    </row>
    <row r="67" spans="1:33" s="34" customFormat="1" ht="10.15" customHeight="1">
      <c r="A67" s="50">
        <v>1</v>
      </c>
      <c r="B67" s="375" t="s">
        <v>55</v>
      </c>
      <c r="C67" s="375"/>
      <c r="D67" s="313" t="s">
        <v>56</v>
      </c>
      <c r="E67" s="313"/>
      <c r="F67" s="313"/>
      <c r="G67" s="313"/>
      <c r="H67" s="313"/>
      <c r="I67" s="313"/>
      <c r="J67" s="313"/>
      <c r="K67" s="313"/>
      <c r="L67" s="313"/>
      <c r="M67" s="313"/>
      <c r="N67" s="313"/>
      <c r="O67" s="313"/>
      <c r="P67" s="313"/>
      <c r="Q67" s="313"/>
      <c r="R67" s="224" t="str">
        <f>IF(AND(R68&gt;0,R69&gt;0),ROUND(AVERAGE(R68:R69),),"")</f>
        <v/>
      </c>
      <c r="S67" s="224" t="str">
        <f>IF(AND(S68&gt;0,S69&gt;0),ROUND(AVERAGE(S68:S69),),"")</f>
        <v/>
      </c>
      <c r="T67" s="94"/>
      <c r="U67" s="340"/>
      <c r="V67" s="340"/>
      <c r="W67" s="376" t="s">
        <v>57</v>
      </c>
      <c r="X67" s="377"/>
      <c r="Y67" s="378"/>
      <c r="AA67" s="227"/>
      <c r="AC67" s="154"/>
      <c r="AD67" s="190"/>
      <c r="AE67" s="191"/>
      <c r="AF67" s="196"/>
      <c r="AG67" s="191"/>
    </row>
    <row r="68" spans="1:33" s="34" customFormat="1" ht="10.15" customHeight="1">
      <c r="A68" s="218" t="s">
        <v>58</v>
      </c>
      <c r="B68" s="361" t="s">
        <v>55</v>
      </c>
      <c r="C68" s="361"/>
      <c r="D68" s="322" t="s">
        <v>59</v>
      </c>
      <c r="E68" s="322"/>
      <c r="F68" s="322"/>
      <c r="G68" s="322"/>
      <c r="H68" s="322"/>
      <c r="I68" s="322"/>
      <c r="J68" s="322"/>
      <c r="K68" s="322"/>
      <c r="L68" s="322"/>
      <c r="M68" s="322"/>
      <c r="N68" s="322"/>
      <c r="O68" s="322"/>
      <c r="P68" s="322"/>
      <c r="Q68" s="322"/>
      <c r="R68" s="83"/>
      <c r="S68" s="83"/>
      <c r="T68" s="97"/>
      <c r="U68" s="300"/>
      <c r="V68" s="300"/>
      <c r="W68" s="379"/>
      <c r="X68" s="380"/>
      <c r="Y68" s="381"/>
      <c r="AA68" s="227"/>
      <c r="AC68" s="343"/>
      <c r="AD68" s="190"/>
      <c r="AE68" s="191"/>
      <c r="AF68" s="196"/>
      <c r="AG68" s="191"/>
    </row>
    <row r="69" spans="1:33" s="34" customFormat="1" ht="10.15" customHeight="1">
      <c r="A69" s="218" t="s">
        <v>60</v>
      </c>
      <c r="B69" s="361" t="s">
        <v>55</v>
      </c>
      <c r="C69" s="361"/>
      <c r="D69" s="322" t="s">
        <v>61</v>
      </c>
      <c r="E69" s="322"/>
      <c r="F69" s="322"/>
      <c r="G69" s="322"/>
      <c r="H69" s="322"/>
      <c r="I69" s="322"/>
      <c r="J69" s="322"/>
      <c r="K69" s="322"/>
      <c r="L69" s="322"/>
      <c r="M69" s="322"/>
      <c r="N69" s="322"/>
      <c r="O69" s="322"/>
      <c r="P69" s="322"/>
      <c r="Q69" s="322"/>
      <c r="R69" s="83"/>
      <c r="S69" s="83"/>
      <c r="T69" s="97"/>
      <c r="U69" s="300"/>
      <c r="V69" s="300"/>
      <c r="W69" s="379"/>
      <c r="X69" s="380"/>
      <c r="Y69" s="381"/>
      <c r="AA69" s="227"/>
      <c r="AC69" s="344"/>
      <c r="AD69" s="190"/>
      <c r="AE69" s="191"/>
      <c r="AF69" s="196"/>
      <c r="AG69" s="191"/>
    </row>
    <row r="70" spans="1:33" s="34" customFormat="1" ht="10.15" customHeight="1">
      <c r="A70" s="46">
        <v>2</v>
      </c>
      <c r="B70" s="240" t="s">
        <v>55</v>
      </c>
      <c r="C70" s="240"/>
      <c r="D70" s="288" t="s">
        <v>62</v>
      </c>
      <c r="E70" s="288"/>
      <c r="F70" s="288"/>
      <c r="G70" s="288"/>
      <c r="H70" s="288"/>
      <c r="I70" s="288"/>
      <c r="J70" s="288"/>
      <c r="K70" s="288"/>
      <c r="L70" s="288"/>
      <c r="M70" s="288"/>
      <c r="N70" s="288"/>
      <c r="O70" s="288"/>
      <c r="P70" s="288"/>
      <c r="Q70" s="288"/>
      <c r="R70" s="80"/>
      <c r="S70" s="80"/>
      <c r="T70" s="95"/>
      <c r="U70" s="294"/>
      <c r="V70" s="294"/>
      <c r="W70" s="379"/>
      <c r="X70" s="380"/>
      <c r="Y70" s="381"/>
      <c r="AA70" s="227"/>
      <c r="AC70" s="216"/>
      <c r="AD70" s="190"/>
      <c r="AE70" s="191"/>
      <c r="AF70" s="196"/>
      <c r="AG70" s="191"/>
    </row>
    <row r="71" spans="1:33" s="34" customFormat="1" ht="10.15" customHeight="1">
      <c r="A71" s="46">
        <v>3</v>
      </c>
      <c r="B71" s="240" t="s">
        <v>55</v>
      </c>
      <c r="C71" s="240"/>
      <c r="D71" s="288" t="s">
        <v>63</v>
      </c>
      <c r="E71" s="288"/>
      <c r="F71" s="288"/>
      <c r="G71" s="288"/>
      <c r="H71" s="288"/>
      <c r="I71" s="288"/>
      <c r="J71" s="288"/>
      <c r="K71" s="288"/>
      <c r="L71" s="288"/>
      <c r="M71" s="288"/>
      <c r="N71" s="288"/>
      <c r="O71" s="288"/>
      <c r="P71" s="288"/>
      <c r="Q71" s="288"/>
      <c r="R71" s="80"/>
      <c r="S71" s="80"/>
      <c r="T71" s="95"/>
      <c r="U71" s="294"/>
      <c r="V71" s="294"/>
      <c r="W71" s="379"/>
      <c r="X71" s="380"/>
      <c r="Y71" s="381"/>
      <c r="AA71" s="227"/>
      <c r="AC71" s="216"/>
      <c r="AD71" s="190"/>
      <c r="AE71" s="191"/>
      <c r="AF71" s="196"/>
      <c r="AG71" s="191"/>
    </row>
    <row r="72" spans="1:33" s="34" customFormat="1" ht="10.15" customHeight="1">
      <c r="A72" s="46">
        <v>4</v>
      </c>
      <c r="B72" s="240" t="s">
        <v>55</v>
      </c>
      <c r="C72" s="240"/>
      <c r="D72" s="288" t="s">
        <v>64</v>
      </c>
      <c r="E72" s="288"/>
      <c r="F72" s="288"/>
      <c r="G72" s="288"/>
      <c r="H72" s="288"/>
      <c r="I72" s="288"/>
      <c r="J72" s="288"/>
      <c r="K72" s="288"/>
      <c r="L72" s="288"/>
      <c r="M72" s="288"/>
      <c r="N72" s="288"/>
      <c r="O72" s="288"/>
      <c r="P72" s="288"/>
      <c r="Q72" s="288"/>
      <c r="R72" s="80"/>
      <c r="S72" s="80"/>
      <c r="T72" s="95"/>
      <c r="U72" s="294"/>
      <c r="V72" s="294"/>
      <c r="W72" s="379"/>
      <c r="X72" s="380"/>
      <c r="Y72" s="381"/>
      <c r="AA72" s="227"/>
      <c r="AC72" s="216"/>
      <c r="AD72" s="190"/>
      <c r="AE72" s="191"/>
      <c r="AF72" s="196"/>
      <c r="AG72" s="191"/>
    </row>
    <row r="73" spans="1:33" s="34" customFormat="1" ht="10.15" customHeight="1">
      <c r="A73" s="49">
        <v>5</v>
      </c>
      <c r="B73" s="348" t="s">
        <v>55</v>
      </c>
      <c r="C73" s="348"/>
      <c r="D73" s="310" t="s">
        <v>65</v>
      </c>
      <c r="E73" s="310"/>
      <c r="F73" s="310"/>
      <c r="G73" s="310"/>
      <c r="H73" s="310"/>
      <c r="I73" s="310"/>
      <c r="J73" s="310"/>
      <c r="K73" s="310"/>
      <c r="L73" s="310"/>
      <c r="M73" s="310"/>
      <c r="N73" s="310"/>
      <c r="O73" s="310"/>
      <c r="P73" s="310"/>
      <c r="Q73" s="310"/>
      <c r="R73" s="81"/>
      <c r="S73" s="81"/>
      <c r="T73" s="96"/>
      <c r="U73" s="321"/>
      <c r="V73" s="321"/>
      <c r="W73" s="382"/>
      <c r="X73" s="383"/>
      <c r="Y73" s="384"/>
      <c r="AA73" s="227"/>
      <c r="AC73" s="216"/>
      <c r="AD73" s="190" t="s">
        <v>66</v>
      </c>
      <c r="AE73" s="192" t="s">
        <v>67</v>
      </c>
      <c r="AF73" s="197" t="s">
        <v>68</v>
      </c>
      <c r="AG73" s="191"/>
    </row>
    <row r="74" spans="1:33" s="34" customFormat="1" ht="10.15" customHeight="1">
      <c r="A74" s="45">
        <v>6</v>
      </c>
      <c r="B74" s="345"/>
      <c r="C74" s="345"/>
      <c r="D74" s="353"/>
      <c r="E74" s="353"/>
      <c r="F74" s="353"/>
      <c r="G74" s="353"/>
      <c r="H74" s="353"/>
      <c r="I74" s="353"/>
      <c r="J74" s="353"/>
      <c r="K74" s="353"/>
      <c r="L74" s="353"/>
      <c r="M74" s="353"/>
      <c r="N74" s="353"/>
      <c r="O74" s="353"/>
      <c r="P74" s="353"/>
      <c r="Q74" s="353"/>
      <c r="R74" s="76"/>
      <c r="S74" s="76"/>
      <c r="T74" s="224" t="str">
        <f>IF(AF74=2,IF(COUNTA(R74:S74)=2,ROUND(AVERAGE(R74:S74),0),""),"")</f>
        <v/>
      </c>
      <c r="U74" s="354" t="str">
        <f t="shared" ref="U74:U80" si="5">IF(T74&lt;&gt;"",IF(T74&lt;75,"FAILED","PASSED"),"")</f>
        <v/>
      </c>
      <c r="V74" s="355"/>
      <c r="W74" s="318" t="str">
        <f>_xlfn.IFNA(_xlfn.XLOOKUP(AF74,HELPER_SUBJECTS!$I$13:$I$14,HELPER_SUBJECTS!$J$13:$J$14),"")</f>
        <v/>
      </c>
      <c r="X74" s="319"/>
      <c r="Y74" s="320"/>
      <c r="AA74" s="227"/>
      <c r="AC74" s="216" t="str">
        <f>IF(B74="ACADEMIC",HELPER_SUBJECTS!$S$4,IF(B74="TECHPRO",HELPER_SUBJECTS!$T$4,""))</f>
        <v/>
      </c>
      <c r="AD74" s="191">
        <f>_xlfn.IFNA(_xlfn.XLOOKUP(D74,HELPER_SUBJECTS!D:D,HELPER_SUBJECTS!F:F),0)</f>
        <v>0</v>
      </c>
      <c r="AE74" s="191">
        <f>_xlfn.IFNA(IF(D74&lt;&gt;"",_xlfn.XLOOKUP(D74,ANNEX!$F$52:$F$61,ANNEX!$H$52:$H$61),0),0)</f>
        <v>0</v>
      </c>
      <c r="AF74" s="196">
        <f t="shared" ref="AF74:AF80" si="6">IF(AND(AD74&gt;0,AE74=0),AD74,IF(AND(AE74&gt;0,AD74=0),AE74,0))</f>
        <v>0</v>
      </c>
      <c r="AG74" s="191"/>
    </row>
    <row r="75" spans="1:33" s="34" customFormat="1" ht="10.15" customHeight="1">
      <c r="A75" s="46">
        <v>7</v>
      </c>
      <c r="B75" s="240"/>
      <c r="C75" s="240"/>
      <c r="D75" s="237"/>
      <c r="E75" s="238"/>
      <c r="F75" s="238"/>
      <c r="G75" s="238"/>
      <c r="H75" s="238"/>
      <c r="I75" s="238"/>
      <c r="J75" s="238"/>
      <c r="K75" s="238"/>
      <c r="L75" s="238"/>
      <c r="M75" s="238"/>
      <c r="N75" s="238"/>
      <c r="O75" s="238"/>
      <c r="P75" s="238"/>
      <c r="Q75" s="239"/>
      <c r="R75" s="77"/>
      <c r="S75" s="77"/>
      <c r="T75" s="213" t="str">
        <f t="shared" ref="T75:T80" si="7">IF(AF75=2,IF(COUNTA(R75:S75)=2,ROUND(AVERAGE(R75:S75),0),""),"")</f>
        <v/>
      </c>
      <c r="U75" s="236" t="str">
        <f t="shared" si="5"/>
        <v/>
      </c>
      <c r="V75" s="236"/>
      <c r="W75" s="233" t="str">
        <f>_xlfn.IFNA(_xlfn.XLOOKUP(AD75,HELPER_SUBJECTS!$I$13:$I$14,HELPER_SUBJECTS!$J$13:$J$14),"")</f>
        <v/>
      </c>
      <c r="X75" s="234"/>
      <c r="Y75" s="235"/>
      <c r="AA75" s="227"/>
      <c r="AC75" s="216" t="str">
        <f>IF(B75="ACADEMIC",HELPER_SUBJECTS!$S$4,IF(B75="TECHPRO",HELPER_SUBJECTS!$T$4,""))</f>
        <v/>
      </c>
      <c r="AD75" s="191">
        <f>_xlfn.IFNA(_xlfn.XLOOKUP(D75,HELPER_SUBJECTS!D:D,HELPER_SUBJECTS!F:F),0)</f>
        <v>0</v>
      </c>
      <c r="AE75" s="191">
        <f>_xlfn.IFNA(IF(D75&lt;&gt;"",_xlfn.XLOOKUP(D75,ANNEX!$F$52:$F$61,ANNEX!$H$52:$H$61),0),0)</f>
        <v>0</v>
      </c>
      <c r="AF75" s="196">
        <f t="shared" si="6"/>
        <v>0</v>
      </c>
      <c r="AG75" s="191"/>
    </row>
    <row r="76" spans="1:33" s="34" customFormat="1" ht="10.15" customHeight="1">
      <c r="A76" s="46">
        <v>8</v>
      </c>
      <c r="B76" s="240"/>
      <c r="C76" s="240"/>
      <c r="D76" s="237"/>
      <c r="E76" s="238"/>
      <c r="F76" s="238"/>
      <c r="G76" s="238"/>
      <c r="H76" s="238"/>
      <c r="I76" s="238"/>
      <c r="J76" s="238"/>
      <c r="K76" s="238"/>
      <c r="L76" s="238"/>
      <c r="M76" s="238"/>
      <c r="N76" s="238"/>
      <c r="O76" s="238"/>
      <c r="P76" s="238"/>
      <c r="Q76" s="239"/>
      <c r="R76" s="77"/>
      <c r="S76" s="77"/>
      <c r="T76" s="213" t="str">
        <f t="shared" si="7"/>
        <v/>
      </c>
      <c r="U76" s="236" t="str">
        <f t="shared" si="5"/>
        <v/>
      </c>
      <c r="V76" s="236"/>
      <c r="W76" s="233" t="str">
        <f>_xlfn.IFNA(_xlfn.XLOOKUP(AD76,HELPER_SUBJECTS!$I$13:$I$14,HELPER_SUBJECTS!$J$13:$J$14),"")</f>
        <v/>
      </c>
      <c r="X76" s="234"/>
      <c r="Y76" s="235"/>
      <c r="AA76" s="227"/>
      <c r="AC76" s="216" t="str">
        <f>IF(B76="ACADEMIC",HELPER_SUBJECTS!$S$4,IF(B76="TECHPRO",HELPER_SUBJECTS!$T$4,""))</f>
        <v/>
      </c>
      <c r="AD76" s="191">
        <f>_xlfn.IFNA(_xlfn.XLOOKUP(D76,HELPER_SUBJECTS!D:D,HELPER_SUBJECTS!F:F),0)</f>
        <v>0</v>
      </c>
      <c r="AE76" s="191">
        <f>_xlfn.IFNA(IF(D76&lt;&gt;"",_xlfn.XLOOKUP(D76,ANNEX!$F$52:$F$61,ANNEX!$H$52:$H$61),0),0)</f>
        <v>0</v>
      </c>
      <c r="AF76" s="196">
        <f t="shared" si="6"/>
        <v>0</v>
      </c>
      <c r="AG76" s="191"/>
    </row>
    <row r="77" spans="1:33" s="34" customFormat="1" ht="10.15" customHeight="1">
      <c r="A77" s="46">
        <v>9</v>
      </c>
      <c r="B77" s="240"/>
      <c r="C77" s="240"/>
      <c r="D77" s="237"/>
      <c r="E77" s="238"/>
      <c r="F77" s="238"/>
      <c r="G77" s="238"/>
      <c r="H77" s="238"/>
      <c r="I77" s="238"/>
      <c r="J77" s="238"/>
      <c r="K77" s="238"/>
      <c r="L77" s="238"/>
      <c r="M77" s="238"/>
      <c r="N77" s="238"/>
      <c r="O77" s="238"/>
      <c r="P77" s="238"/>
      <c r="Q77" s="239"/>
      <c r="R77" s="77"/>
      <c r="S77" s="77"/>
      <c r="T77" s="213" t="str">
        <f t="shared" si="7"/>
        <v/>
      </c>
      <c r="U77" s="236" t="str">
        <f t="shared" si="5"/>
        <v/>
      </c>
      <c r="V77" s="236"/>
      <c r="W77" s="233" t="str">
        <f>_xlfn.IFNA(_xlfn.XLOOKUP(AD77,HELPER_SUBJECTS!$I$13:$I$14,HELPER_SUBJECTS!$J$13:$J$14),"")</f>
        <v/>
      </c>
      <c r="X77" s="234"/>
      <c r="Y77" s="235"/>
      <c r="AA77" s="227"/>
      <c r="AC77" s="216" t="str">
        <f>IF(B77="ACADEMIC",HELPER_SUBJECTS!$S$4,IF(B77="TECHPRO",HELPER_SUBJECTS!$T$4,""))</f>
        <v/>
      </c>
      <c r="AD77" s="191">
        <f>_xlfn.IFNA(_xlfn.XLOOKUP(D77,HELPER_SUBJECTS!D:D,HELPER_SUBJECTS!F:F),0)</f>
        <v>0</v>
      </c>
      <c r="AE77" s="191">
        <f>_xlfn.IFNA(IF(D77&lt;&gt;"",_xlfn.XLOOKUP(D77,ANNEX!$F$52:$F$61,ANNEX!$H$52:$H$61),0),0)</f>
        <v>0</v>
      </c>
      <c r="AF77" s="196">
        <f>IF(AND(AD77&gt;0,AE77=0),AD77,IF(AND(AE77&gt;0,AD77=0),AE77,0))</f>
        <v>0</v>
      </c>
      <c r="AG77" s="191"/>
    </row>
    <row r="78" spans="1:33" s="34" customFormat="1" ht="10.15" customHeight="1">
      <c r="A78" s="46">
        <v>10</v>
      </c>
      <c r="B78" s="240"/>
      <c r="C78" s="240"/>
      <c r="D78" s="237"/>
      <c r="E78" s="238"/>
      <c r="F78" s="238"/>
      <c r="G78" s="238"/>
      <c r="H78" s="238"/>
      <c r="I78" s="238"/>
      <c r="J78" s="238"/>
      <c r="K78" s="238"/>
      <c r="L78" s="238"/>
      <c r="M78" s="238"/>
      <c r="N78" s="238"/>
      <c r="O78" s="238"/>
      <c r="P78" s="238"/>
      <c r="Q78" s="239"/>
      <c r="R78" s="77"/>
      <c r="S78" s="77"/>
      <c r="T78" s="213" t="str">
        <f t="shared" si="7"/>
        <v/>
      </c>
      <c r="U78" s="236" t="str">
        <f t="shared" si="5"/>
        <v/>
      </c>
      <c r="V78" s="236"/>
      <c r="W78" s="233" t="str">
        <f>_xlfn.IFNA(_xlfn.XLOOKUP(AD78,HELPER_SUBJECTS!$I$13:$I$14,HELPER_SUBJECTS!$J$13:$J$14),"")</f>
        <v/>
      </c>
      <c r="X78" s="234"/>
      <c r="Y78" s="235"/>
      <c r="AA78" s="227"/>
      <c r="AC78" s="216" t="str">
        <f>IF(B78="ACADEMIC",HELPER_SUBJECTS!$S$4,IF(B78="TECHPRO",HELPER_SUBJECTS!$T$4,""))</f>
        <v/>
      </c>
      <c r="AD78" s="191">
        <f>_xlfn.IFNA(_xlfn.XLOOKUP(D78,HELPER_SUBJECTS!D:D,HELPER_SUBJECTS!F:F),0)</f>
        <v>0</v>
      </c>
      <c r="AE78" s="191">
        <f>_xlfn.IFNA(IF(D78&lt;&gt;"",_xlfn.XLOOKUP(D78,ANNEX!$F$52:$F$61,ANNEX!$H$52:$H$61),0),0)</f>
        <v>0</v>
      </c>
      <c r="AF78" s="196">
        <f t="shared" si="6"/>
        <v>0</v>
      </c>
      <c r="AG78" s="191"/>
    </row>
    <row r="79" spans="1:33" s="34" customFormat="1" ht="10.15" customHeight="1">
      <c r="A79" s="46">
        <v>11</v>
      </c>
      <c r="B79" s="240"/>
      <c r="C79" s="240"/>
      <c r="D79" s="237"/>
      <c r="E79" s="238"/>
      <c r="F79" s="238"/>
      <c r="G79" s="238"/>
      <c r="H79" s="238"/>
      <c r="I79" s="238"/>
      <c r="J79" s="238"/>
      <c r="K79" s="238"/>
      <c r="L79" s="238"/>
      <c r="M79" s="238"/>
      <c r="N79" s="238"/>
      <c r="O79" s="238"/>
      <c r="P79" s="238"/>
      <c r="Q79" s="239"/>
      <c r="R79" s="77"/>
      <c r="S79" s="77"/>
      <c r="T79" s="213" t="str">
        <f t="shared" si="7"/>
        <v/>
      </c>
      <c r="U79" s="236" t="str">
        <f t="shared" si="5"/>
        <v/>
      </c>
      <c r="V79" s="236"/>
      <c r="W79" s="233" t="str">
        <f>_xlfn.IFNA(_xlfn.XLOOKUP(AD79,HELPER_SUBJECTS!$I$13:$I$14,HELPER_SUBJECTS!$J$13:$J$14),"")</f>
        <v/>
      </c>
      <c r="X79" s="234"/>
      <c r="Y79" s="235"/>
      <c r="AA79" s="227"/>
      <c r="AC79" s="216" t="str">
        <f>IF(B79="ACADEMIC",HELPER_SUBJECTS!$S$4,IF(B79="TECHPRO",HELPER_SUBJECTS!$T$4,""))</f>
        <v/>
      </c>
      <c r="AD79" s="191">
        <f>_xlfn.IFNA(_xlfn.XLOOKUP(D79,HELPER_SUBJECTS!D:D,HELPER_SUBJECTS!F:F),0)</f>
        <v>0</v>
      </c>
      <c r="AE79" s="191">
        <f>_xlfn.IFNA(IF(D79&lt;&gt;"",_xlfn.XLOOKUP(D79,ANNEX!$F$52:$F$61,ANNEX!$H$52:$H$61),0),0)</f>
        <v>0</v>
      </c>
      <c r="AF79" s="196">
        <f t="shared" si="6"/>
        <v>0</v>
      </c>
      <c r="AG79" s="191"/>
    </row>
    <row r="80" spans="1:33" s="34" customFormat="1" ht="10.15" customHeight="1">
      <c r="A80" s="49">
        <v>12</v>
      </c>
      <c r="B80" s="348"/>
      <c r="C80" s="348"/>
      <c r="D80" s="356"/>
      <c r="E80" s="357"/>
      <c r="F80" s="357"/>
      <c r="G80" s="357"/>
      <c r="H80" s="357"/>
      <c r="I80" s="357"/>
      <c r="J80" s="357"/>
      <c r="K80" s="357"/>
      <c r="L80" s="357"/>
      <c r="M80" s="357"/>
      <c r="N80" s="357"/>
      <c r="O80" s="357"/>
      <c r="P80" s="357"/>
      <c r="Q80" s="358"/>
      <c r="R80" s="78"/>
      <c r="S80" s="78"/>
      <c r="T80" s="215" t="str">
        <f t="shared" si="7"/>
        <v/>
      </c>
      <c r="U80" s="289" t="str">
        <f t="shared" si="5"/>
        <v/>
      </c>
      <c r="V80" s="289"/>
      <c r="W80" s="350" t="str">
        <f>_xlfn.IFNA(_xlfn.XLOOKUP(AD80,HELPER_SUBJECTS!$I$13:$I$14,HELPER_SUBJECTS!$J$13:$J$14),"")</f>
        <v/>
      </c>
      <c r="X80" s="351"/>
      <c r="Y80" s="352"/>
      <c r="AA80" s="227"/>
      <c r="AC80" s="216" t="str">
        <f>IF(B80="ACADEMIC",HELPER_SUBJECTS!$S$4,IF(B80="TECHPRO",HELPER_SUBJECTS!$T$4,""))</f>
        <v/>
      </c>
      <c r="AD80" s="191">
        <f>_xlfn.IFNA(_xlfn.XLOOKUP(D80,HELPER_SUBJECTS!D:D,HELPER_SUBJECTS!F:F),0)</f>
        <v>0</v>
      </c>
      <c r="AE80" s="191">
        <f>_xlfn.IFNA(IF(D80&lt;&gt;"",_xlfn.XLOOKUP(D80,ANNEX!$F$52:$F$61,ANNEX!$H$52:$H$61),0),0)</f>
        <v>0</v>
      </c>
      <c r="AF80" s="196">
        <f t="shared" si="6"/>
        <v>0</v>
      </c>
      <c r="AG80" s="191"/>
    </row>
    <row r="81" spans="1:33" ht="4.9000000000000004" customHeight="1">
      <c r="AA81" s="227"/>
      <c r="AC81" s="216"/>
    </row>
    <row r="82" spans="1:33" s="34" customFormat="1" ht="10.15" customHeight="1">
      <c r="A82" s="139" t="s">
        <v>69</v>
      </c>
      <c r="B82" s="19"/>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AA82" s="227"/>
      <c r="AC82" s="216"/>
      <c r="AD82" s="190"/>
      <c r="AE82" s="191"/>
      <c r="AF82" s="196"/>
      <c r="AG82" s="191"/>
    </row>
    <row r="83" spans="1:33" s="34" customFormat="1" ht="4.9000000000000004"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AA83" s="227"/>
      <c r="AC83" s="216"/>
      <c r="AD83" s="190"/>
      <c r="AE83" s="191"/>
      <c r="AF83" s="196"/>
      <c r="AG83" s="191"/>
    </row>
    <row r="84" spans="1:33" s="34" customFormat="1" ht="13.9">
      <c r="A84" s="139" t="s">
        <v>70</v>
      </c>
      <c r="B84" s="19"/>
      <c r="C84" s="19"/>
      <c r="D84" s="19"/>
      <c r="E84" s="19"/>
      <c r="F84" s="19"/>
      <c r="G84" s="19"/>
      <c r="H84" s="19"/>
      <c r="I84" s="19"/>
      <c r="J84" s="19"/>
      <c r="K84" s="19"/>
      <c r="L84" s="143" t="s">
        <v>71</v>
      </c>
      <c r="M84" s="17"/>
      <c r="N84" s="17"/>
      <c r="O84" s="19"/>
      <c r="P84" s="19"/>
      <c r="Q84" s="19"/>
      <c r="R84" s="19"/>
      <c r="S84" s="19"/>
      <c r="T84" s="19"/>
      <c r="U84" s="19"/>
      <c r="V84" s="19"/>
      <c r="W84" s="144" t="s">
        <v>72</v>
      </c>
      <c r="X84" s="21"/>
      <c r="Y84" s="21"/>
      <c r="AA84" s="227"/>
      <c r="AC84" s="216"/>
      <c r="AD84" s="190"/>
      <c r="AE84" s="191"/>
      <c r="AF84" s="196"/>
      <c r="AG84" s="191"/>
    </row>
    <row r="85" spans="1:33" s="34" customFormat="1" ht="13.15">
      <c r="A85" s="242"/>
      <c r="B85" s="242"/>
      <c r="C85" s="242"/>
      <c r="D85" s="242"/>
      <c r="E85" s="242"/>
      <c r="F85" s="242"/>
      <c r="G85" s="242"/>
      <c r="H85" s="242"/>
      <c r="I85" s="242"/>
      <c r="J85" s="242"/>
      <c r="K85" s="19"/>
      <c r="L85" s="242"/>
      <c r="M85" s="242"/>
      <c r="N85" s="242"/>
      <c r="O85" s="242"/>
      <c r="P85" s="242"/>
      <c r="Q85" s="242"/>
      <c r="R85" s="242"/>
      <c r="S85" s="242"/>
      <c r="T85" s="242"/>
      <c r="U85" s="242"/>
      <c r="V85" s="19"/>
      <c r="W85" s="243"/>
      <c r="X85" s="243"/>
      <c r="Y85" s="243"/>
      <c r="AA85" s="227"/>
      <c r="AC85" s="216"/>
      <c r="AD85" s="190"/>
      <c r="AE85" s="191"/>
      <c r="AF85" s="196"/>
      <c r="AG85" s="191"/>
    </row>
    <row r="86" spans="1:33" s="158" customFormat="1" ht="10.9" thickBot="1">
      <c r="A86" s="155" t="s">
        <v>73</v>
      </c>
      <c r="B86" s="47"/>
      <c r="C86" s="47"/>
      <c r="D86" s="47"/>
      <c r="E86" s="47"/>
      <c r="F86" s="47"/>
      <c r="G86" s="47"/>
      <c r="H86" s="47"/>
      <c r="I86" s="47"/>
      <c r="J86" s="47"/>
      <c r="K86" s="48"/>
      <c r="L86" s="155" t="s">
        <v>74</v>
      </c>
      <c r="M86" s="156"/>
      <c r="N86" s="156"/>
      <c r="O86" s="47"/>
      <c r="P86" s="47"/>
      <c r="Q86" s="47"/>
      <c r="R86" s="47"/>
      <c r="S86" s="47"/>
      <c r="T86" s="47"/>
      <c r="U86" s="47"/>
      <c r="V86" s="48"/>
      <c r="W86" s="299" t="s">
        <v>14</v>
      </c>
      <c r="X86" s="299"/>
      <c r="Y86" s="299"/>
      <c r="Z86" s="2"/>
      <c r="AA86" s="227"/>
      <c r="AB86" s="2"/>
      <c r="AC86" s="157"/>
      <c r="AD86" s="194"/>
      <c r="AE86" s="193"/>
      <c r="AF86" s="198"/>
      <c r="AG86" s="193"/>
    </row>
    <row r="87" spans="1:33" s="38" customFormat="1" ht="4.9000000000000004" customHeight="1">
      <c r="A87" s="37"/>
      <c r="B87" s="36"/>
      <c r="C87" s="37"/>
      <c r="D87" s="37"/>
      <c r="E87" s="37"/>
      <c r="F87" s="37"/>
      <c r="G87" s="37"/>
      <c r="H87" s="37"/>
      <c r="I87" s="37"/>
      <c r="J87" s="37"/>
      <c r="K87" s="37"/>
      <c r="L87" s="37"/>
      <c r="M87" s="37"/>
      <c r="N87" s="37"/>
      <c r="O87" s="37"/>
      <c r="P87" s="37"/>
      <c r="Q87" s="37"/>
      <c r="R87" s="37"/>
      <c r="S87" s="37"/>
      <c r="T87" s="37"/>
      <c r="U87" s="37"/>
      <c r="V87" s="37"/>
      <c r="W87" s="37"/>
      <c r="X87" s="37"/>
      <c r="Y87" s="37"/>
      <c r="Z87" s="22"/>
      <c r="AA87" s="227"/>
      <c r="AB87" s="22"/>
      <c r="AC87" s="216"/>
      <c r="AD87" s="190"/>
      <c r="AE87" s="191"/>
      <c r="AF87" s="196"/>
      <c r="AG87" s="191"/>
    </row>
    <row r="88" spans="1:33" s="17" customFormat="1" ht="13.15">
      <c r="A88" s="102" t="s">
        <v>75</v>
      </c>
      <c r="B88" s="18"/>
      <c r="G88" s="146" t="s">
        <v>76</v>
      </c>
      <c r="H88" s="232"/>
      <c r="I88" s="232"/>
      <c r="J88" s="232"/>
      <c r="K88" s="145" t="s">
        <v>77</v>
      </c>
      <c r="L88" s="232"/>
      <c r="M88" s="232"/>
      <c r="N88" s="232"/>
      <c r="P88" s="146" t="s">
        <v>78</v>
      </c>
      <c r="Q88" s="260"/>
      <c r="R88" s="260"/>
      <c r="S88" s="260"/>
      <c r="T88" s="260"/>
      <c r="U88" s="260"/>
      <c r="V88" s="32"/>
      <c r="W88" s="146" t="s">
        <v>79</v>
      </c>
      <c r="X88" s="232"/>
      <c r="Y88" s="232"/>
      <c r="AA88" s="227"/>
      <c r="AC88" s="142"/>
      <c r="AD88" s="195"/>
      <c r="AE88" s="196"/>
      <c r="AF88" s="196"/>
      <c r="AG88" s="196"/>
    </row>
    <row r="89" spans="1:33" s="34" customFormat="1" ht="11.45">
      <c r="B89" s="35"/>
      <c r="E89" s="159"/>
      <c r="F89" s="38"/>
      <c r="G89" s="38"/>
      <c r="H89" s="360" t="s">
        <v>14</v>
      </c>
      <c r="I89" s="360"/>
      <c r="J89" s="360"/>
      <c r="K89" s="38"/>
      <c r="L89" s="360" t="s">
        <v>14</v>
      </c>
      <c r="M89" s="360"/>
      <c r="N89" s="360"/>
      <c r="O89" s="38"/>
      <c r="AA89" s="227"/>
      <c r="AC89" s="216"/>
      <c r="AD89" s="190"/>
      <c r="AE89" s="191"/>
      <c r="AF89" s="196"/>
      <c r="AG89" s="191"/>
    </row>
    <row r="90" spans="1:33" s="34" customFormat="1" ht="10.15" customHeight="1">
      <c r="A90" s="296" t="s">
        <v>43</v>
      </c>
      <c r="B90" s="296"/>
      <c r="C90" s="296"/>
      <c r="D90" s="296" t="s">
        <v>44</v>
      </c>
      <c r="E90" s="296"/>
      <c r="F90" s="296"/>
      <c r="G90" s="296"/>
      <c r="H90" s="296"/>
      <c r="I90" s="296"/>
      <c r="J90" s="296"/>
      <c r="K90" s="296"/>
      <c r="L90" s="296"/>
      <c r="M90" s="296"/>
      <c r="N90" s="296"/>
      <c r="O90" s="296"/>
      <c r="P90" s="296"/>
      <c r="Q90" s="296"/>
      <c r="R90" s="365" t="s">
        <v>80</v>
      </c>
      <c r="S90" s="367" t="s">
        <v>81</v>
      </c>
      <c r="T90" s="369" t="s">
        <v>82</v>
      </c>
      <c r="U90" s="359" t="s">
        <v>49</v>
      </c>
      <c r="V90" s="359"/>
      <c r="W90" s="311" t="s">
        <v>47</v>
      </c>
      <c r="X90" s="311"/>
      <c r="Y90" s="311"/>
      <c r="AA90" s="227"/>
      <c r="AC90" s="216"/>
      <c r="AD90" s="190"/>
      <c r="AE90" s="191"/>
      <c r="AF90" s="196"/>
      <c r="AG90" s="191"/>
    </row>
    <row r="91" spans="1:33" s="34" customFormat="1" ht="12" customHeight="1">
      <c r="A91" s="297" t="s">
        <v>50</v>
      </c>
      <c r="B91" s="297"/>
      <c r="C91" s="297"/>
      <c r="D91" s="297" t="s">
        <v>51</v>
      </c>
      <c r="E91" s="297"/>
      <c r="F91" s="297"/>
      <c r="G91" s="297"/>
      <c r="H91" s="297"/>
      <c r="I91" s="297"/>
      <c r="J91" s="297"/>
      <c r="K91" s="297"/>
      <c r="L91" s="297"/>
      <c r="M91" s="297"/>
      <c r="N91" s="297"/>
      <c r="O91" s="297"/>
      <c r="P91" s="297"/>
      <c r="Q91" s="297"/>
      <c r="R91" s="366"/>
      <c r="S91" s="368"/>
      <c r="T91" s="370"/>
      <c r="U91" s="359"/>
      <c r="V91" s="359"/>
      <c r="W91" s="311"/>
      <c r="X91" s="311"/>
      <c r="Y91" s="311"/>
      <c r="AA91" s="227"/>
      <c r="AC91" s="216"/>
      <c r="AD91" s="190"/>
      <c r="AE91" s="191"/>
      <c r="AF91" s="196"/>
      <c r="AG91" s="191"/>
    </row>
    <row r="92" spans="1:33" s="34" customFormat="1" ht="10.15" customHeight="1">
      <c r="A92" s="45">
        <v>1</v>
      </c>
      <c r="B92" s="240"/>
      <c r="C92" s="240"/>
      <c r="D92" s="353"/>
      <c r="E92" s="353"/>
      <c r="F92" s="353"/>
      <c r="G92" s="353"/>
      <c r="H92" s="353"/>
      <c r="I92" s="353"/>
      <c r="J92" s="353"/>
      <c r="K92" s="353"/>
      <c r="L92" s="353"/>
      <c r="M92" s="353"/>
      <c r="N92" s="353"/>
      <c r="O92" s="353"/>
      <c r="P92" s="353"/>
      <c r="Q92" s="353"/>
      <c r="R92" s="76"/>
      <c r="S92" s="76"/>
      <c r="T92" s="54" t="str">
        <f t="shared" ref="T92:T95" si="8">IF(OR(R92="",S92=""),"",IF(ISERROR(ROUND(AVERAGE(R92,S92),0)),"",ROUND(AVERAGE(R92,S92),0)))</f>
        <v/>
      </c>
      <c r="U92" s="298" t="str">
        <f t="shared" ref="U92" si="9">IF(T92&lt;&gt;"",IF(T92&lt;75,"FAILED","PASSED"),"")</f>
        <v/>
      </c>
      <c r="V92" s="298"/>
      <c r="W92" s="308"/>
      <c r="X92" s="308"/>
      <c r="Y92" s="308"/>
      <c r="AA92" s="227"/>
      <c r="AC92" s="216" t="str">
        <f>IF(B92="CORE",HELPER_SUBJECTS!$M$4,IF(B92="ACADEMIC",HELPER_SUBJECTS!$S$4,IF(B92="TECHPRO",HELPER_SUBJECTS!$T$4,"")))</f>
        <v/>
      </c>
      <c r="AD92" s="190"/>
      <c r="AE92" s="191"/>
      <c r="AF92" s="196"/>
      <c r="AG92" s="191"/>
    </row>
    <row r="93" spans="1:33" s="34" customFormat="1" ht="10.15" customHeight="1">
      <c r="A93" s="46">
        <v>2</v>
      </c>
      <c r="B93" s="240"/>
      <c r="C93" s="240"/>
      <c r="D93" s="288"/>
      <c r="E93" s="288"/>
      <c r="F93" s="288"/>
      <c r="G93" s="288"/>
      <c r="H93" s="288"/>
      <c r="I93" s="288"/>
      <c r="J93" s="288"/>
      <c r="K93" s="288"/>
      <c r="L93" s="288"/>
      <c r="M93" s="288"/>
      <c r="N93" s="288"/>
      <c r="O93" s="288"/>
      <c r="P93" s="288"/>
      <c r="Q93" s="288"/>
      <c r="R93" s="80"/>
      <c r="S93" s="80"/>
      <c r="T93" s="54" t="str">
        <f t="shared" si="8"/>
        <v/>
      </c>
      <c r="U93" s="347" t="str">
        <f t="shared" ref="U93:U95" si="10">IF(T93&lt;&gt;"",IF(T93&lt;75,"FAILED","PASSED"),"")</f>
        <v/>
      </c>
      <c r="V93" s="347"/>
      <c r="W93" s="259"/>
      <c r="X93" s="259"/>
      <c r="Y93" s="259"/>
      <c r="AA93" s="227"/>
      <c r="AC93" s="216" t="str">
        <f>IF(B93="CORE",HELPER_SUBJECTS!$M$4,IF(B93="ACADEMIC",HELPER_SUBJECTS!$S$4,IF(B93="TECHPRO",HELPER_SUBJECTS!$T$4,"")))</f>
        <v/>
      </c>
      <c r="AD93" s="190"/>
      <c r="AE93" s="191"/>
      <c r="AF93" s="196"/>
      <c r="AG93" s="191"/>
    </row>
    <row r="94" spans="1:33" s="34" customFormat="1" ht="10.15" customHeight="1">
      <c r="A94" s="46">
        <v>3</v>
      </c>
      <c r="B94" s="240"/>
      <c r="C94" s="240"/>
      <c r="D94" s="288"/>
      <c r="E94" s="288"/>
      <c r="F94" s="288"/>
      <c r="G94" s="288"/>
      <c r="H94" s="288"/>
      <c r="I94" s="288"/>
      <c r="J94" s="288"/>
      <c r="K94" s="288"/>
      <c r="L94" s="288"/>
      <c r="M94" s="288"/>
      <c r="N94" s="288"/>
      <c r="O94" s="288"/>
      <c r="P94" s="288"/>
      <c r="Q94" s="288"/>
      <c r="R94" s="80"/>
      <c r="S94" s="80"/>
      <c r="T94" s="54" t="str">
        <f t="shared" si="8"/>
        <v/>
      </c>
      <c r="U94" s="347" t="str">
        <f t="shared" si="10"/>
        <v/>
      </c>
      <c r="V94" s="347"/>
      <c r="W94" s="259"/>
      <c r="X94" s="259"/>
      <c r="Y94" s="259"/>
      <c r="AA94" s="227"/>
      <c r="AC94" s="216" t="str">
        <f>IF(B94="CORE",HELPER_SUBJECTS!$M$4,IF(B94="ACADEMIC",HELPER_SUBJECTS!$S$4,IF(B94="TECHPRO",HELPER_SUBJECTS!$T$4,"")))</f>
        <v/>
      </c>
      <c r="AD94" s="190"/>
      <c r="AE94" s="191"/>
      <c r="AF94" s="196"/>
      <c r="AG94" s="191"/>
    </row>
    <row r="95" spans="1:33" s="34" customFormat="1" ht="10.15" customHeight="1">
      <c r="A95" s="49">
        <v>4</v>
      </c>
      <c r="B95" s="348"/>
      <c r="C95" s="348"/>
      <c r="D95" s="310"/>
      <c r="E95" s="310"/>
      <c r="F95" s="310"/>
      <c r="G95" s="310"/>
      <c r="H95" s="310"/>
      <c r="I95" s="310"/>
      <c r="J95" s="310"/>
      <c r="K95" s="310"/>
      <c r="L95" s="310"/>
      <c r="M95" s="310"/>
      <c r="N95" s="310"/>
      <c r="O95" s="310"/>
      <c r="P95" s="310"/>
      <c r="Q95" s="310"/>
      <c r="R95" s="81"/>
      <c r="S95" s="81"/>
      <c r="T95" s="55" t="str">
        <f t="shared" si="8"/>
        <v/>
      </c>
      <c r="U95" s="349" t="str">
        <f t="shared" si="10"/>
        <v/>
      </c>
      <c r="V95" s="349"/>
      <c r="W95" s="346"/>
      <c r="X95" s="346"/>
      <c r="Y95" s="346"/>
      <c r="AA95" s="227"/>
      <c r="AC95" s="216" t="str">
        <f>IF(B95="CORE",HELPER_SUBJECTS!$M$4,IF(B95="ACADEMIC",HELPER_SUBJECTS!$S$4,IF(B95="TECHPRO",HELPER_SUBJECTS!$T$4,"")))</f>
        <v/>
      </c>
      <c r="AD95" s="190"/>
      <c r="AE95" s="191"/>
      <c r="AF95" s="196"/>
      <c r="AG95" s="191"/>
    </row>
    <row r="96" spans="1:33" s="37" customFormat="1" ht="4.9000000000000004" customHeight="1">
      <c r="B96" s="36"/>
      <c r="AC96" s="216"/>
      <c r="AD96" s="190"/>
      <c r="AE96" s="191"/>
      <c r="AF96" s="196"/>
      <c r="AG96" s="191"/>
    </row>
    <row r="97" spans="1:33" s="19" customFormat="1" ht="14.45" customHeight="1">
      <c r="A97" s="144" t="s">
        <v>83</v>
      </c>
      <c r="B97" s="21"/>
      <c r="D97" s="260" t="s">
        <v>84</v>
      </c>
      <c r="E97" s="260"/>
      <c r="F97" s="260"/>
      <c r="G97" s="260"/>
      <c r="H97" s="260"/>
      <c r="I97" s="260"/>
      <c r="J97" s="260"/>
      <c r="K97" s="260"/>
      <c r="L97" s="260"/>
      <c r="M97" s="260"/>
      <c r="N97" s="260"/>
      <c r="O97" s="260"/>
      <c r="P97" s="260"/>
      <c r="Q97" s="260"/>
      <c r="S97" s="146" t="s">
        <v>85</v>
      </c>
      <c r="T97" s="292"/>
      <c r="U97" s="292"/>
      <c r="V97" s="292"/>
      <c r="W97" s="292"/>
      <c r="X97" s="292"/>
      <c r="Y97" s="292"/>
      <c r="AC97" s="216"/>
      <c r="AD97" s="190"/>
      <c r="AE97" s="191"/>
      <c r="AF97" s="196"/>
      <c r="AG97" s="191"/>
    </row>
    <row r="98" spans="1:33" s="37" customFormat="1" ht="4.9000000000000004" customHeight="1">
      <c r="AC98" s="216"/>
      <c r="AD98" s="190"/>
      <c r="AE98" s="191"/>
      <c r="AF98" s="196"/>
      <c r="AG98" s="191"/>
    </row>
    <row r="99" spans="1:33" ht="5.0999999999999996" customHeight="1">
      <c r="A99" s="163"/>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5"/>
      <c r="AC99" s="216"/>
    </row>
    <row r="100" spans="1:33" ht="13.15">
      <c r="A100" s="362" t="s">
        <v>91</v>
      </c>
      <c r="B100" s="363"/>
      <c r="C100" s="363"/>
      <c r="D100" s="363"/>
      <c r="E100" s="363"/>
      <c r="F100" s="363"/>
      <c r="G100" s="363"/>
      <c r="H100" s="363"/>
      <c r="I100" s="363"/>
      <c r="J100" s="363"/>
      <c r="K100" s="363"/>
      <c r="L100" s="363"/>
      <c r="M100" s="363"/>
      <c r="N100" s="363"/>
      <c r="O100" s="363"/>
      <c r="P100" s="363"/>
      <c r="Q100" s="363"/>
      <c r="R100" s="363"/>
      <c r="S100" s="363"/>
      <c r="T100" s="363"/>
      <c r="U100" s="363"/>
      <c r="V100" s="363"/>
      <c r="W100" s="363"/>
      <c r="X100" s="363"/>
      <c r="Y100" s="364"/>
      <c r="AC100" s="216"/>
    </row>
    <row r="101" spans="1:33" s="38" customFormat="1" ht="10.9" customHeight="1">
      <c r="A101" s="270" t="s">
        <v>43</v>
      </c>
      <c r="B101" s="270"/>
      <c r="C101" s="270"/>
      <c r="D101" s="248" t="s">
        <v>44</v>
      </c>
      <c r="E101" s="249"/>
      <c r="F101" s="249"/>
      <c r="G101" s="249"/>
      <c r="H101" s="249"/>
      <c r="I101" s="249"/>
      <c r="J101" s="249"/>
      <c r="K101" s="249"/>
      <c r="L101" s="249"/>
      <c r="M101" s="249"/>
      <c r="N101" s="249"/>
      <c r="O101" s="249"/>
      <c r="P101" s="250"/>
      <c r="Q101" s="246" t="s">
        <v>45</v>
      </c>
      <c r="R101" s="246"/>
      <c r="S101" s="246"/>
      <c r="T101" s="246"/>
      <c r="U101" s="245" t="s">
        <v>92</v>
      </c>
      <c r="V101" s="245"/>
      <c r="W101" s="246" t="s">
        <v>93</v>
      </c>
      <c r="X101" s="246"/>
      <c r="Y101" s="246"/>
      <c r="Z101" s="22"/>
      <c r="AA101" s="22"/>
      <c r="AB101" s="22"/>
      <c r="AC101" s="216"/>
      <c r="AD101" s="190"/>
      <c r="AE101" s="191"/>
      <c r="AF101" s="196"/>
      <c r="AG101" s="191"/>
    </row>
    <row r="102" spans="1:33" s="38" customFormat="1" ht="10.9" customHeight="1">
      <c r="A102" s="271"/>
      <c r="B102" s="271"/>
      <c r="C102" s="271"/>
      <c r="D102" s="251"/>
      <c r="E102" s="252"/>
      <c r="F102" s="252"/>
      <c r="G102" s="252"/>
      <c r="H102" s="252"/>
      <c r="I102" s="252"/>
      <c r="J102" s="252"/>
      <c r="K102" s="252"/>
      <c r="L102" s="252"/>
      <c r="M102" s="252"/>
      <c r="N102" s="252"/>
      <c r="O102" s="252"/>
      <c r="P102" s="253"/>
      <c r="Q102" s="246" t="s">
        <v>52</v>
      </c>
      <c r="R102" s="246" t="s">
        <v>53</v>
      </c>
      <c r="S102" s="246" t="s">
        <v>89</v>
      </c>
      <c r="T102" s="246" t="s">
        <v>90</v>
      </c>
      <c r="U102" s="247" t="s">
        <v>82</v>
      </c>
      <c r="V102" s="247"/>
      <c r="W102" s="268" t="s">
        <v>48</v>
      </c>
      <c r="X102" s="268" t="s">
        <v>49</v>
      </c>
      <c r="Y102" s="268"/>
      <c r="Z102" s="22"/>
      <c r="AA102" s="22"/>
      <c r="AB102" s="22"/>
      <c r="AC102" s="216"/>
      <c r="AD102" s="190"/>
      <c r="AE102" s="191"/>
      <c r="AF102" s="196"/>
      <c r="AG102" s="191"/>
    </row>
    <row r="103" spans="1:33" s="38" customFormat="1" ht="10.9" customHeight="1">
      <c r="A103" s="273" t="s">
        <v>50</v>
      </c>
      <c r="B103" s="273"/>
      <c r="C103" s="273"/>
      <c r="D103" s="254" t="s">
        <v>51</v>
      </c>
      <c r="E103" s="255"/>
      <c r="F103" s="255"/>
      <c r="G103" s="255"/>
      <c r="H103" s="255"/>
      <c r="I103" s="255"/>
      <c r="J103" s="255"/>
      <c r="K103" s="255"/>
      <c r="L103" s="255"/>
      <c r="M103" s="255"/>
      <c r="N103" s="255"/>
      <c r="O103" s="255"/>
      <c r="P103" s="256"/>
      <c r="Q103" s="246"/>
      <c r="R103" s="246"/>
      <c r="S103" s="246"/>
      <c r="T103" s="246"/>
      <c r="U103" s="93" t="s">
        <v>94</v>
      </c>
      <c r="V103" s="93" t="s">
        <v>95</v>
      </c>
      <c r="W103" s="268"/>
      <c r="X103" s="268"/>
      <c r="Y103" s="268"/>
      <c r="Z103" s="22"/>
      <c r="AA103" s="22"/>
      <c r="AB103" s="22"/>
      <c r="AC103" s="190"/>
      <c r="AD103" s="190" t="s">
        <v>66</v>
      </c>
      <c r="AE103" s="192" t="s">
        <v>67</v>
      </c>
      <c r="AF103" s="197" t="s">
        <v>68</v>
      </c>
      <c r="AG103" s="191"/>
    </row>
    <row r="104" spans="1:33" s="38" customFormat="1" ht="10.15" customHeight="1">
      <c r="A104" s="56">
        <v>1</v>
      </c>
      <c r="B104" s="290" t="s">
        <v>55</v>
      </c>
      <c r="C104" s="290"/>
      <c r="D104" s="257" t="s">
        <v>56</v>
      </c>
      <c r="E104" s="257"/>
      <c r="F104" s="257"/>
      <c r="G104" s="257"/>
      <c r="H104" s="257"/>
      <c r="I104" s="257"/>
      <c r="J104" s="257"/>
      <c r="K104" s="257"/>
      <c r="L104" s="257"/>
      <c r="M104" s="257"/>
      <c r="N104" s="257"/>
      <c r="O104" s="257"/>
      <c r="P104" s="257"/>
      <c r="Q104" s="56" t="str">
        <f>IF(AND(Q105&lt;&gt;"",Q106&lt;&gt;""),ROUND(AVERAGE(Q105:Q106),0),"")</f>
        <v/>
      </c>
      <c r="R104" s="56" t="str">
        <f t="shared" ref="R104:T104" si="11">IF(AND(R105&lt;&gt;"",R106&lt;&gt;""),ROUND(AVERAGE(R105:R106),0),"")</f>
        <v/>
      </c>
      <c r="S104" s="56" t="str">
        <f t="shared" si="11"/>
        <v/>
      </c>
      <c r="T104" s="56" t="str">
        <f t="shared" si="11"/>
        <v/>
      </c>
      <c r="U104" s="92" t="str">
        <f>IF($D104&lt;&gt;"",IFERROR(_xlfn.XLOOKUP($D104,$D$53:$D$56,$T$53:$T$56),""),"")</f>
        <v/>
      </c>
      <c r="V104" s="92" t="str">
        <f t="shared" ref="V104:V106" si="12">IF($D104&lt;&gt;"",IFERROR(_xlfn.XLOOKUP($D104,$D$92:$D$95,$T$92:$T$95),""),"")</f>
        <v/>
      </c>
      <c r="W104" s="224" t="str">
        <f>IFERROR(IF(COUNT(U104:V104)&gt;0,ROUND(
    (SUM(Q104:V104) - SUMIF(Q104:T104,"&lt;75",Q104:T104))
    / COUNTIF(Q104:V104, "&gt;=75"),
0
),
IF(COUNT(Q104:T104)=AF104,ROUND(AVERAGE(Q104:T104),0),"")),"")</f>
        <v/>
      </c>
      <c r="X104" s="267" t="str">
        <f t="shared" ref="X104:X113" si="13">IF(AND(W104&gt;0,W104&lt;&gt;""),IF(W104&lt;75,"FAILED","PASSED"),"")</f>
        <v/>
      </c>
      <c r="Y104" s="267"/>
      <c r="Z104" s="22"/>
      <c r="AA104" s="22"/>
      <c r="AB104" s="22"/>
      <c r="AC104" s="216"/>
      <c r="AD104" s="191">
        <v>4</v>
      </c>
      <c r="AE104" s="191">
        <f>_xlfn.IFNA(IF(D104&lt;&gt;"",_xlfn.XLOOKUP(D104,ANNEX!$F$52:$F$61,ANNEX!$H$52:$H$61),0),0)</f>
        <v>0</v>
      </c>
      <c r="AF104" s="196">
        <f t="shared" ref="AF104:AF122" si="14">IF(AND(AD104&gt;0,AE104=0),AD104,IF(AND(AE104&gt;0,AD104=0),AE104,0))</f>
        <v>4</v>
      </c>
      <c r="AG104" s="191"/>
    </row>
    <row r="105" spans="1:33" s="38" customFormat="1" ht="10.15" customHeight="1">
      <c r="A105" s="221" t="s">
        <v>58</v>
      </c>
      <c r="B105" s="244" t="s">
        <v>55</v>
      </c>
      <c r="C105" s="244"/>
      <c r="D105" s="258" t="s">
        <v>59</v>
      </c>
      <c r="E105" s="258"/>
      <c r="F105" s="258"/>
      <c r="G105" s="258"/>
      <c r="H105" s="258"/>
      <c r="I105" s="258"/>
      <c r="J105" s="258"/>
      <c r="K105" s="258"/>
      <c r="L105" s="258"/>
      <c r="M105" s="258"/>
      <c r="N105" s="258"/>
      <c r="O105" s="258"/>
      <c r="P105" s="258"/>
      <c r="Q105" s="221" t="str">
        <f t="shared" ref="Q105:R110" si="15">IF(R29="","",R29)</f>
        <v/>
      </c>
      <c r="R105" s="221" t="str">
        <f t="shared" si="15"/>
        <v/>
      </c>
      <c r="S105" s="221" t="str">
        <f t="shared" ref="S105:T105" si="16">IF(R68="","",R68)</f>
        <v/>
      </c>
      <c r="T105" s="221" t="str">
        <f t="shared" si="16"/>
        <v/>
      </c>
      <c r="U105" s="101" t="str">
        <f t="shared" ref="U105:U122" si="17">IF($D105&lt;&gt;"",IFERROR(_xlfn.XLOOKUP($D105,$D$53:$D$56,$T$53:$T$56),""),"")</f>
        <v/>
      </c>
      <c r="V105" s="217" t="str">
        <f t="shared" si="12"/>
        <v/>
      </c>
      <c r="W105" s="221" t="str">
        <f>IFERROR(IF(COUNT(U105:V105)&gt;0,ROUND(
    (SUM(Q105:V105) - SUMIF(Q105:T105,"&lt;75",Q105:T105))
    / COUNTIF(Q105:V105, "&gt;=75"),
0
),
IF(COUNT(Q105:T105)=AF105,ROUND(AVERAGE(Q105:T105),0),"")),"")</f>
        <v/>
      </c>
      <c r="X105" s="225" t="str">
        <f t="shared" si="13"/>
        <v/>
      </c>
      <c r="Y105" s="225"/>
      <c r="Z105" s="22"/>
      <c r="AA105" s="22"/>
      <c r="AB105" s="22"/>
      <c r="AC105" s="216"/>
      <c r="AD105" s="191">
        <v>4</v>
      </c>
      <c r="AE105" s="191">
        <f>_xlfn.IFNA(IF(D105&lt;&gt;"",_xlfn.XLOOKUP(D105,ANNEX!$F$52:$F$61,ANNEX!$H$52:$H$61),0),0)</f>
        <v>0</v>
      </c>
      <c r="AF105" s="196">
        <f t="shared" si="14"/>
        <v>4</v>
      </c>
      <c r="AG105" s="191"/>
    </row>
    <row r="106" spans="1:33" s="38" customFormat="1" ht="10.15" customHeight="1">
      <c r="A106" s="221" t="s">
        <v>60</v>
      </c>
      <c r="B106" s="244" t="s">
        <v>55</v>
      </c>
      <c r="C106" s="244"/>
      <c r="D106" s="258" t="s">
        <v>61</v>
      </c>
      <c r="E106" s="258"/>
      <c r="F106" s="258"/>
      <c r="G106" s="258"/>
      <c r="H106" s="258"/>
      <c r="I106" s="258"/>
      <c r="J106" s="258"/>
      <c r="K106" s="258"/>
      <c r="L106" s="258"/>
      <c r="M106" s="258"/>
      <c r="N106" s="258"/>
      <c r="O106" s="258"/>
      <c r="P106" s="258"/>
      <c r="Q106" s="221" t="str">
        <f t="shared" si="15"/>
        <v/>
      </c>
      <c r="R106" s="221" t="str">
        <f t="shared" si="15"/>
        <v/>
      </c>
      <c r="S106" s="221" t="str">
        <f t="shared" ref="S106:T106" si="18">IF(R69="","",R69)</f>
        <v/>
      </c>
      <c r="T106" s="221" t="str">
        <f t="shared" si="18"/>
        <v/>
      </c>
      <c r="U106" s="101" t="str">
        <f t="shared" si="17"/>
        <v/>
      </c>
      <c r="V106" s="217" t="str">
        <f t="shared" si="12"/>
        <v/>
      </c>
      <c r="W106" s="221" t="str">
        <f t="shared" ref="W106:W109" si="19">IFERROR(IF(COUNT(U106:V106)&gt;0,ROUND(
    (SUM(Q106:V106) - SUMIF(Q106:T106,"&lt;75",Q106:T106))
    / COUNTIF(Q106:V106, "&gt;=75"),
0
),
IF(COUNT(Q106:T106)=AF106,ROUND(AVERAGE(Q106:T106),0),"")),"")</f>
        <v/>
      </c>
      <c r="X106" s="225" t="str">
        <f t="shared" si="13"/>
        <v/>
      </c>
      <c r="Y106" s="225"/>
      <c r="Z106" s="22"/>
      <c r="AA106" s="22"/>
      <c r="AB106" s="22"/>
      <c r="AC106" s="216"/>
      <c r="AD106" s="191">
        <v>4</v>
      </c>
      <c r="AE106" s="191">
        <f>_xlfn.IFNA(IF(D106&lt;&gt;"",_xlfn.XLOOKUP(D106,ANNEX!$F$52:$F$61,ANNEX!$H$52:$H$61),0),0)</f>
        <v>0</v>
      </c>
      <c r="AF106" s="196">
        <f t="shared" si="14"/>
        <v>4</v>
      </c>
      <c r="AG106" s="191"/>
    </row>
    <row r="107" spans="1:33" s="38" customFormat="1" ht="10.15" customHeight="1">
      <c r="A107" s="44">
        <v>2</v>
      </c>
      <c r="B107" s="272" t="s">
        <v>55</v>
      </c>
      <c r="C107" s="272"/>
      <c r="D107" s="269" t="s">
        <v>62</v>
      </c>
      <c r="E107" s="269"/>
      <c r="F107" s="269"/>
      <c r="G107" s="269"/>
      <c r="H107" s="269"/>
      <c r="I107" s="269"/>
      <c r="J107" s="269"/>
      <c r="K107" s="269"/>
      <c r="L107" s="269"/>
      <c r="M107" s="269"/>
      <c r="N107" s="269"/>
      <c r="O107" s="269"/>
      <c r="P107" s="269"/>
      <c r="Q107" s="44" t="str">
        <f t="shared" si="15"/>
        <v/>
      </c>
      <c r="R107" s="44" t="str">
        <f t="shared" si="15"/>
        <v/>
      </c>
      <c r="S107" s="44" t="str">
        <f t="shared" ref="S107:T107" si="20">IF(R70="","",R70)</f>
        <v/>
      </c>
      <c r="T107" s="44" t="str">
        <f t="shared" si="20"/>
        <v/>
      </c>
      <c r="U107" s="67" t="str">
        <f t="shared" si="17"/>
        <v/>
      </c>
      <c r="V107" s="68" t="str">
        <f>IF($D107&lt;&gt;"",IFERROR(_xlfn.XLOOKUP($D107,$D$92:$D$95,$T$92:$T$95),""),"")</f>
        <v/>
      </c>
      <c r="W107" s="221" t="str">
        <f t="shared" si="19"/>
        <v/>
      </c>
      <c r="X107" s="236" t="str">
        <f t="shared" si="13"/>
        <v/>
      </c>
      <c r="Y107" s="236"/>
      <c r="Z107" s="22"/>
      <c r="AA107" s="22"/>
      <c r="AB107" s="22"/>
      <c r="AC107" s="216"/>
      <c r="AD107" s="191">
        <v>4</v>
      </c>
      <c r="AE107" s="191">
        <f>_xlfn.IFNA(IF(D107&lt;&gt;"",_xlfn.XLOOKUP(D107,ANNEX!$F$52:$F$61,ANNEX!$H$52:$H$61),0),0)</f>
        <v>0</v>
      </c>
      <c r="AF107" s="196">
        <f t="shared" si="14"/>
        <v>4</v>
      </c>
      <c r="AG107" s="191"/>
    </row>
    <row r="108" spans="1:33" s="38" customFormat="1" ht="10.15" customHeight="1">
      <c r="A108" s="44">
        <v>3</v>
      </c>
      <c r="B108" s="272" t="s">
        <v>55</v>
      </c>
      <c r="C108" s="272"/>
      <c r="D108" s="269" t="s">
        <v>63</v>
      </c>
      <c r="E108" s="269"/>
      <c r="F108" s="269"/>
      <c r="G108" s="269"/>
      <c r="H108" s="269"/>
      <c r="I108" s="269"/>
      <c r="J108" s="269"/>
      <c r="K108" s="269"/>
      <c r="L108" s="269"/>
      <c r="M108" s="269"/>
      <c r="N108" s="269"/>
      <c r="O108" s="269"/>
      <c r="P108" s="269"/>
      <c r="Q108" s="44" t="str">
        <f t="shared" si="15"/>
        <v/>
      </c>
      <c r="R108" s="44" t="str">
        <f t="shared" si="15"/>
        <v/>
      </c>
      <c r="S108" s="44" t="str">
        <f t="shared" ref="S108:T108" si="21">IF(R71="","",R71)</f>
        <v/>
      </c>
      <c r="T108" s="44" t="str">
        <f t="shared" si="21"/>
        <v/>
      </c>
      <c r="U108" s="67" t="str">
        <f t="shared" si="17"/>
        <v/>
      </c>
      <c r="V108" s="68" t="str">
        <f t="shared" ref="V108:V122" si="22">IF($D108&lt;&gt;"",IFERROR(_xlfn.XLOOKUP($D108,$D$92:$D$95,$T$92:$T$95),""),"")</f>
        <v/>
      </c>
      <c r="W108" s="221" t="str">
        <f t="shared" si="19"/>
        <v/>
      </c>
      <c r="X108" s="236" t="str">
        <f t="shared" si="13"/>
        <v/>
      </c>
      <c r="Y108" s="236"/>
      <c r="Z108" s="22"/>
      <c r="AA108" s="22"/>
      <c r="AB108" s="22"/>
      <c r="AC108" s="216"/>
      <c r="AD108" s="191">
        <v>4</v>
      </c>
      <c r="AE108" s="191">
        <f>_xlfn.IFNA(IF(D108&lt;&gt;"",_xlfn.XLOOKUP(D108,ANNEX!$F$52:$F$61,ANNEX!$H$52:$H$61),0),0)</f>
        <v>0</v>
      </c>
      <c r="AF108" s="196">
        <f t="shared" si="14"/>
        <v>4</v>
      </c>
      <c r="AG108" s="191"/>
    </row>
    <row r="109" spans="1:33" s="38" customFormat="1" ht="10.15" customHeight="1">
      <c r="A109" s="44">
        <v>4</v>
      </c>
      <c r="B109" s="272" t="s">
        <v>55</v>
      </c>
      <c r="C109" s="272"/>
      <c r="D109" s="269" t="s">
        <v>64</v>
      </c>
      <c r="E109" s="269"/>
      <c r="F109" s="269"/>
      <c r="G109" s="269"/>
      <c r="H109" s="269"/>
      <c r="I109" s="269"/>
      <c r="J109" s="269"/>
      <c r="K109" s="269"/>
      <c r="L109" s="269"/>
      <c r="M109" s="269"/>
      <c r="N109" s="269"/>
      <c r="O109" s="269"/>
      <c r="P109" s="269"/>
      <c r="Q109" s="44" t="str">
        <f t="shared" si="15"/>
        <v/>
      </c>
      <c r="R109" s="44" t="str">
        <f t="shared" si="15"/>
        <v/>
      </c>
      <c r="S109" s="44" t="str">
        <f t="shared" ref="S109:T109" si="23">IF(R72="","",R72)</f>
        <v/>
      </c>
      <c r="T109" s="44" t="str">
        <f t="shared" si="23"/>
        <v/>
      </c>
      <c r="U109" s="67" t="str">
        <f t="shared" si="17"/>
        <v/>
      </c>
      <c r="V109" s="68" t="str">
        <f t="shared" si="22"/>
        <v/>
      </c>
      <c r="W109" s="221" t="str">
        <f t="shared" si="19"/>
        <v/>
      </c>
      <c r="X109" s="236" t="str">
        <f t="shared" si="13"/>
        <v/>
      </c>
      <c r="Y109" s="236"/>
      <c r="Z109" s="22"/>
      <c r="AA109" s="22"/>
      <c r="AB109" s="22"/>
      <c r="AC109" s="216"/>
      <c r="AD109" s="191">
        <v>4</v>
      </c>
      <c r="AE109" s="191">
        <f>_xlfn.IFNA(IF(D109&lt;&gt;"",_xlfn.XLOOKUP(D109,ANNEX!$F$52:$F$61,ANNEX!$H$52:$H$61),0),0)</f>
        <v>0</v>
      </c>
      <c r="AF109" s="196">
        <f t="shared" si="14"/>
        <v>4</v>
      </c>
      <c r="AG109" s="191"/>
    </row>
    <row r="110" spans="1:33" s="38" customFormat="1" ht="10.15" customHeight="1">
      <c r="A110" s="51">
        <v>5</v>
      </c>
      <c r="B110" s="291" t="s">
        <v>55</v>
      </c>
      <c r="C110" s="291"/>
      <c r="D110" s="293" t="s">
        <v>65</v>
      </c>
      <c r="E110" s="293"/>
      <c r="F110" s="293"/>
      <c r="G110" s="293"/>
      <c r="H110" s="293"/>
      <c r="I110" s="293"/>
      <c r="J110" s="293"/>
      <c r="K110" s="293"/>
      <c r="L110" s="293"/>
      <c r="M110" s="293"/>
      <c r="N110" s="293"/>
      <c r="O110" s="293"/>
      <c r="P110" s="293"/>
      <c r="Q110" s="51" t="str">
        <f t="shared" si="15"/>
        <v/>
      </c>
      <c r="R110" s="51" t="str">
        <f t="shared" si="15"/>
        <v/>
      </c>
      <c r="S110" s="51" t="str">
        <f t="shared" ref="S110:T110" si="24">IF(R73="","",R73)</f>
        <v/>
      </c>
      <c r="T110" s="51" t="str">
        <f t="shared" si="24"/>
        <v/>
      </c>
      <c r="U110" s="91" t="str">
        <f t="shared" si="17"/>
        <v/>
      </c>
      <c r="V110" s="73" t="str">
        <f t="shared" si="22"/>
        <v/>
      </c>
      <c r="W110" s="215" t="str">
        <f>IFERROR(IF(COUNT(U110:V110)&gt;0,ROUND(
    (SUM(Q110:V110) - SUMIF(Q110:T110,"&lt;75",Q110:T110))
    / COUNTIF(Q110:V110, "&gt;=75"),
0
),
IF(COUNT(Q110:T110)=AF110,ROUND(AVERAGE(Q110:T110),0),"")),"")</f>
        <v/>
      </c>
      <c r="X110" s="289" t="str">
        <f t="shared" si="13"/>
        <v/>
      </c>
      <c r="Y110" s="289"/>
      <c r="Z110" s="22"/>
      <c r="AA110" s="22"/>
      <c r="AB110" s="22"/>
      <c r="AC110" s="216"/>
      <c r="AD110" s="191">
        <v>4</v>
      </c>
      <c r="AE110" s="191">
        <f>_xlfn.IFNA(IF(D110&lt;&gt;"",_xlfn.XLOOKUP(D110,ANNEX!$F$52:$F$61,ANNEX!$H$52:$H$61),0),0)</f>
        <v>0</v>
      </c>
      <c r="AF110" s="196">
        <f t="shared" si="14"/>
        <v>4</v>
      </c>
      <c r="AG110" s="191"/>
    </row>
    <row r="111" spans="1:33" s="38" customFormat="1" ht="10.15" customHeight="1">
      <c r="A111" s="43">
        <v>6</v>
      </c>
      <c r="B111" s="228" t="str">
        <f>IF(D111&lt;&gt;"",_xlfn.XLOOKUP(D111,FRONT!$D$35:$D$80,FRONT!$B$35:$B$80),"")</f>
        <v/>
      </c>
      <c r="C111" s="229"/>
      <c r="D111" s="203" t="str" cm="1">
        <f t="array" ref="D111">IFERROR(_xlfn.UNIQUE(_xlfn._xlws.FILTER(_xlfn.VSTACK(D35:D41,D74:D80),_xlfn.VSTACK(D35:D41,D74:D80)&lt;&gt;"")),"")</f>
        <v/>
      </c>
      <c r="E111" s="90"/>
      <c r="F111" s="90"/>
      <c r="G111" s="90"/>
      <c r="H111" s="90"/>
      <c r="I111" s="90"/>
      <c r="J111" s="90"/>
      <c r="K111" s="90"/>
      <c r="L111" s="90"/>
      <c r="M111" s="90"/>
      <c r="N111" s="90"/>
      <c r="O111" s="90"/>
      <c r="P111" s="90"/>
      <c r="Q111" s="43" t="str">
        <f>IF($D111&lt;&gt;"",IFERROR(IF(_xlfn.XLOOKUP($D111,$D$35:$D$41,R$35:R$41)&gt;0,_xlfn.XLOOKUP($D111,$D$35:$D$41,R$35:R$41),""),""),"")</f>
        <v/>
      </c>
      <c r="R111" s="43" t="str">
        <f>IF($D111&lt;&gt;"",IFERROR(IF(_xlfn.XLOOKUP($D111,$D$35:$D$41,S$35:S$41)&gt;0,_xlfn.XLOOKUP($D111,$D$35:$D$41,S$35:S$41),""),""),"")</f>
        <v/>
      </c>
      <c r="S111" s="43" t="str">
        <f>IF($D111&lt;&gt;"",IFERROR(IF(_xlfn.XLOOKUP($D111,$D$74:$D$80,R$74:R$80)&gt;0,_xlfn.XLOOKUP($D111,$D$74:$D$80,R$74:R$80),""),""),"")</f>
        <v/>
      </c>
      <c r="T111" s="43" t="str">
        <f>IF($D111&lt;&gt;"",IFERROR(IF(_xlfn.XLOOKUP($D111,$D$74:$D$80,S$74:S$80)&gt;0,_xlfn.XLOOKUP($D111,$D$74:$D$80,S$74:S$80),""),""),"")</f>
        <v/>
      </c>
      <c r="U111" s="67" t="str">
        <f t="shared" si="17"/>
        <v/>
      </c>
      <c r="V111" s="67" t="str">
        <f t="shared" si="22"/>
        <v/>
      </c>
      <c r="W111" s="214" t="str">
        <f>IFERROR(IF(COUNT(U111:V111)&gt;0,ROUND(
    (SUM(Q111:V111) - SUMIF(Q111:T111,"&lt;75",Q111:T111))
    / COUNTIF(Q111:V111, "&gt;=75"),
0
),
IF(COUNT(Q111:T111)=AF111,ROUND(AVERAGE(Q111:T111),0),"")),"")</f>
        <v/>
      </c>
      <c r="X111" s="286" t="str">
        <f t="shared" si="13"/>
        <v/>
      </c>
      <c r="Y111" s="287"/>
      <c r="Z111" s="22"/>
      <c r="AA111" s="22"/>
      <c r="AB111" s="22"/>
      <c r="AC111" s="216"/>
      <c r="AD111" s="191">
        <f>_xlfn.IFNA(_xlfn.XLOOKUP(D111,HELPER_SUBJECTS!D:D,HELPER_SUBJECTS!F:F),0)</f>
        <v>0</v>
      </c>
      <c r="AE111" s="191">
        <f>_xlfn.IFNA(IF(D111&lt;&gt;"",_xlfn.XLOOKUP(D111,ANNEX!$F$52:$F$61,ANNEX!$H$52:$H$61),0),0)</f>
        <v>0</v>
      </c>
      <c r="AF111" s="196">
        <f t="shared" si="14"/>
        <v>0</v>
      </c>
      <c r="AG111" s="191"/>
    </row>
    <row r="112" spans="1:33" s="38" customFormat="1" ht="10.15" customHeight="1">
      <c r="A112" s="44">
        <v>7</v>
      </c>
      <c r="B112" s="230" t="str">
        <f>IF(D112&lt;&gt;"",_xlfn.XLOOKUP(D112,FRONT!$D$35:$D$80,FRONT!$B$35:$B$80),"")</f>
        <v/>
      </c>
      <c r="C112" s="231"/>
      <c r="D112" s="204"/>
      <c r="E112" s="69"/>
      <c r="F112" s="69"/>
      <c r="G112" s="69"/>
      <c r="H112" s="69"/>
      <c r="I112" s="69"/>
      <c r="J112" s="69"/>
      <c r="K112" s="69"/>
      <c r="L112" s="69"/>
      <c r="M112" s="69"/>
      <c r="N112" s="69"/>
      <c r="O112" s="69"/>
      <c r="P112" s="69"/>
      <c r="Q112" s="43" t="str">
        <f t="shared" ref="Q112:R112" si="25">IF($D112&lt;&gt;"",IFERROR(IF(_xlfn.XLOOKUP($D112,$D$35:$D$41,R$35:R$41)&gt;0,_xlfn.XLOOKUP($D112,$D$35:$D$41,R$35:R$41),""),""),"")</f>
        <v/>
      </c>
      <c r="R112" s="43" t="str">
        <f t="shared" si="25"/>
        <v/>
      </c>
      <c r="S112" s="43" t="str">
        <f t="shared" ref="S112:T112" si="26">IF($D112&lt;&gt;"",IFERROR(IF(_xlfn.XLOOKUP($D112,$D$74:$D$80,R$74:R$80)&gt;0,_xlfn.XLOOKUP($D112,$D$74:$D$80,R$74:R$80),""),""),"")</f>
        <v/>
      </c>
      <c r="T112" s="43" t="str">
        <f t="shared" si="26"/>
        <v/>
      </c>
      <c r="U112" s="67" t="str">
        <f t="shared" si="17"/>
        <v/>
      </c>
      <c r="V112" s="68" t="str">
        <f t="shared" si="22"/>
        <v/>
      </c>
      <c r="W112" s="213" t="str">
        <f>IFERROR(IF(COUNT(U112:V112)&gt;0,ROUND(
    (SUM(Q112:V112) - SUMIF(Q112:T112,"&lt;75",Q112:T112))
    / COUNTIF(Q112:V112, "&gt;=75"),
0
),
IF(COUNT(Q112:T112)=AF112,ROUND(AVERAGE(Q112:T112),0),"")),"")</f>
        <v/>
      </c>
      <c r="X112" s="262" t="str">
        <f t="shared" si="13"/>
        <v/>
      </c>
      <c r="Y112" s="263"/>
      <c r="Z112" s="22"/>
      <c r="AA112" s="22"/>
      <c r="AB112" s="22"/>
      <c r="AC112" s="216"/>
      <c r="AD112" s="191">
        <f>_xlfn.IFNA(_xlfn.XLOOKUP(D112,HELPER_SUBJECTS!D:D,HELPER_SUBJECTS!F:F),0)</f>
        <v>0</v>
      </c>
      <c r="AE112" s="191">
        <f>_xlfn.IFNA(IF(D112&lt;&gt;"",_xlfn.XLOOKUP(D112,ANNEX!$F$52:$F$61,ANNEX!$H$52:$H$61),0),0)</f>
        <v>0</v>
      </c>
      <c r="AF112" s="196">
        <f t="shared" si="14"/>
        <v>0</v>
      </c>
      <c r="AG112" s="191"/>
    </row>
    <row r="113" spans="1:33" s="38" customFormat="1" ht="10.15" customHeight="1">
      <c r="A113" s="44">
        <v>8</v>
      </c>
      <c r="B113" s="230" t="str">
        <f>IF(D113&lt;&gt;"",_xlfn.XLOOKUP(D113,FRONT!$D$35:$D$80,FRONT!$B$35:$B$80),"")</f>
        <v/>
      </c>
      <c r="C113" s="231"/>
      <c r="D113" s="204"/>
      <c r="E113" s="69"/>
      <c r="F113" s="69"/>
      <c r="G113" s="69"/>
      <c r="H113" s="69"/>
      <c r="I113" s="69"/>
      <c r="J113" s="69"/>
      <c r="K113" s="69"/>
      <c r="L113" s="69"/>
      <c r="M113" s="69"/>
      <c r="N113" s="69"/>
      <c r="O113" s="69"/>
      <c r="P113" s="69"/>
      <c r="Q113" s="43" t="str">
        <f t="shared" ref="Q113:R113" si="27">IF($D113&lt;&gt;"",IFERROR(IF(_xlfn.XLOOKUP($D113,$D$35:$D$41,R$35:R$41)&gt;0,_xlfn.XLOOKUP($D113,$D$35:$D$41,R$35:R$41),""),""),"")</f>
        <v/>
      </c>
      <c r="R113" s="43" t="str">
        <f t="shared" si="27"/>
        <v/>
      </c>
      <c r="S113" s="43" t="str">
        <f t="shared" ref="S113:T113" si="28">IF($D113&lt;&gt;"",IFERROR(IF(_xlfn.XLOOKUP($D113,$D$74:$D$80,R$74:R$80)&gt;0,_xlfn.XLOOKUP($D113,$D$74:$D$80,R$74:R$80),""),""),"")</f>
        <v/>
      </c>
      <c r="T113" s="43" t="str">
        <f t="shared" si="28"/>
        <v/>
      </c>
      <c r="U113" s="67" t="str">
        <f t="shared" si="17"/>
        <v/>
      </c>
      <c r="V113" s="68" t="str">
        <f t="shared" si="22"/>
        <v/>
      </c>
      <c r="W113" s="213" t="str">
        <f t="shared" ref="W113:W121" si="29">IFERROR(IF(COUNT(U113:V113)&gt;0,ROUND(
    (SUM(Q113:V113) - SUMIF(Q113:T113,"&lt;75",Q113:T113))
    / COUNTIF(Q113:V113, "&gt;=75"),
0
),
IF(COUNT(Q113:T113)=AF113,ROUND(AVERAGE(Q113:T113),0),"")),"")</f>
        <v/>
      </c>
      <c r="X113" s="262" t="str">
        <f t="shared" si="13"/>
        <v/>
      </c>
      <c r="Y113" s="263"/>
      <c r="Z113" s="22"/>
      <c r="AA113" s="22"/>
      <c r="AB113" s="22"/>
      <c r="AC113" s="216"/>
      <c r="AD113" s="191">
        <f>_xlfn.IFNA(_xlfn.XLOOKUP(D113,HELPER_SUBJECTS!D:D,HELPER_SUBJECTS!F:F),0)</f>
        <v>0</v>
      </c>
      <c r="AE113" s="191">
        <f>_xlfn.IFNA(IF(D113&lt;&gt;"",_xlfn.XLOOKUP(D113,ANNEX!$F$52:$F$61,ANNEX!$H$52:$H$61),0),0)</f>
        <v>0</v>
      </c>
      <c r="AF113" s="196">
        <f t="shared" si="14"/>
        <v>0</v>
      </c>
      <c r="AG113" s="191"/>
    </row>
    <row r="114" spans="1:33" s="38" customFormat="1" ht="10.15" customHeight="1">
      <c r="A114" s="44">
        <v>9</v>
      </c>
      <c r="B114" s="230" t="str">
        <f>IF(D114&lt;&gt;"",_xlfn.XLOOKUP(D114,FRONT!$D$35:$D$80,FRONT!$B$35:$B$80),"")</f>
        <v/>
      </c>
      <c r="C114" s="231"/>
      <c r="D114" s="204"/>
      <c r="E114" s="69"/>
      <c r="F114" s="69"/>
      <c r="G114" s="69"/>
      <c r="H114" s="69"/>
      <c r="I114" s="69"/>
      <c r="J114" s="69"/>
      <c r="K114" s="69"/>
      <c r="L114" s="69"/>
      <c r="M114" s="69"/>
      <c r="N114" s="69"/>
      <c r="O114" s="69"/>
      <c r="P114" s="69"/>
      <c r="Q114" s="43" t="str">
        <f t="shared" ref="Q114:R114" si="30">IF($D114&lt;&gt;"",IFERROR(IF(_xlfn.XLOOKUP($D114,$D$35:$D$41,R$35:R$41)&gt;0,_xlfn.XLOOKUP($D114,$D$35:$D$41,R$35:R$41),""),""),"")</f>
        <v/>
      </c>
      <c r="R114" s="43" t="str">
        <f t="shared" si="30"/>
        <v/>
      </c>
      <c r="S114" s="43" t="str">
        <f t="shared" ref="S114:T114" si="31">IF($D114&lt;&gt;"",IFERROR(IF(_xlfn.XLOOKUP($D114,$D$74:$D$80,R$74:R$80)&gt;0,_xlfn.XLOOKUP($D114,$D$74:$D$80,R$74:R$80),""),""),"")</f>
        <v/>
      </c>
      <c r="T114" s="43" t="str">
        <f t="shared" si="31"/>
        <v/>
      </c>
      <c r="U114" s="67" t="str">
        <f t="shared" si="17"/>
        <v/>
      </c>
      <c r="V114" s="68" t="str">
        <f t="shared" si="22"/>
        <v/>
      </c>
      <c r="W114" s="213" t="str">
        <f t="shared" si="29"/>
        <v/>
      </c>
      <c r="X114" s="262" t="str">
        <f t="shared" ref="X114:X122" si="32">IF(AND(W114&gt;0,W114&lt;&gt;""),IF(W114&lt;75,"FAILED","PASSED"),"")</f>
        <v/>
      </c>
      <c r="Y114" s="263"/>
      <c r="Z114" s="22"/>
      <c r="AA114" s="22"/>
      <c r="AB114" s="22"/>
      <c r="AC114" s="216"/>
      <c r="AD114" s="191">
        <f>_xlfn.IFNA(_xlfn.XLOOKUP(D114,HELPER_SUBJECTS!D:D,HELPER_SUBJECTS!F:F),0)</f>
        <v>0</v>
      </c>
      <c r="AE114" s="191">
        <f>_xlfn.IFNA(IF(D114&lt;&gt;"",_xlfn.XLOOKUP(D114,ANNEX!$F$52:$F$61,ANNEX!$H$52:$H$61),0),0)</f>
        <v>0</v>
      </c>
      <c r="AF114" s="196">
        <f t="shared" si="14"/>
        <v>0</v>
      </c>
      <c r="AG114" s="191"/>
    </row>
    <row r="115" spans="1:33" s="38" customFormat="1" ht="10.15" customHeight="1">
      <c r="A115" s="44">
        <v>10</v>
      </c>
      <c r="B115" s="230" t="str">
        <f>IF(D115&lt;&gt;"",_xlfn.XLOOKUP(D115,FRONT!$D$35:$D$80,FRONT!$B$35:$B$80),"")</f>
        <v/>
      </c>
      <c r="C115" s="231"/>
      <c r="D115" s="204"/>
      <c r="E115" s="69"/>
      <c r="F115" s="69"/>
      <c r="G115" s="69"/>
      <c r="H115" s="69"/>
      <c r="I115" s="69"/>
      <c r="J115" s="69"/>
      <c r="K115" s="69"/>
      <c r="L115" s="69"/>
      <c r="M115" s="69"/>
      <c r="N115" s="69"/>
      <c r="O115" s="69"/>
      <c r="P115" s="69"/>
      <c r="Q115" s="43" t="str">
        <f t="shared" ref="Q115:R115" si="33">IF($D115&lt;&gt;"",IFERROR(IF(_xlfn.XLOOKUP($D115,$D$35:$D$41,R$35:R$41)&gt;0,_xlfn.XLOOKUP($D115,$D$35:$D$41,R$35:R$41),""),""),"")</f>
        <v/>
      </c>
      <c r="R115" s="43" t="str">
        <f t="shared" si="33"/>
        <v/>
      </c>
      <c r="S115" s="43" t="str">
        <f t="shared" ref="S115:T115" si="34">IF($D115&lt;&gt;"",IFERROR(IF(_xlfn.XLOOKUP($D115,$D$74:$D$80,R$74:R$80)&gt;0,_xlfn.XLOOKUP($D115,$D$74:$D$80,R$74:R$80),""),""),"")</f>
        <v/>
      </c>
      <c r="T115" s="43" t="str">
        <f t="shared" si="34"/>
        <v/>
      </c>
      <c r="U115" s="67" t="str">
        <f t="shared" si="17"/>
        <v/>
      </c>
      <c r="V115" s="68" t="str">
        <f t="shared" si="22"/>
        <v/>
      </c>
      <c r="W115" s="213" t="str">
        <f t="shared" si="29"/>
        <v/>
      </c>
      <c r="X115" s="262" t="str">
        <f t="shared" si="32"/>
        <v/>
      </c>
      <c r="Y115" s="263"/>
      <c r="Z115" s="22"/>
      <c r="AA115" s="22"/>
      <c r="AB115" s="22"/>
      <c r="AC115" s="216"/>
      <c r="AD115" s="191">
        <f>_xlfn.IFNA(_xlfn.XLOOKUP(D115,HELPER_SUBJECTS!D:D,HELPER_SUBJECTS!F:F),0)</f>
        <v>0</v>
      </c>
      <c r="AE115" s="191">
        <f>_xlfn.IFNA(IF(D115&lt;&gt;"",_xlfn.XLOOKUP(D115,ANNEX!$F$52:$F$61,ANNEX!$H$52:$H$61),0),0)</f>
        <v>0</v>
      </c>
      <c r="AF115" s="196">
        <f t="shared" si="14"/>
        <v>0</v>
      </c>
      <c r="AG115" s="191"/>
    </row>
    <row r="116" spans="1:33" s="38" customFormat="1" ht="10.15" customHeight="1">
      <c r="A116" s="44">
        <v>11</v>
      </c>
      <c r="B116" s="230" t="str">
        <f>IF(D116&lt;&gt;"",_xlfn.XLOOKUP(D116,FRONT!$D$35:$D$80,FRONT!$B$35:$B$80),"")</f>
        <v/>
      </c>
      <c r="C116" s="231"/>
      <c r="D116" s="204"/>
      <c r="E116" s="69"/>
      <c r="F116" s="69"/>
      <c r="G116" s="69"/>
      <c r="H116" s="69"/>
      <c r="I116" s="69"/>
      <c r="J116" s="69"/>
      <c r="K116" s="69"/>
      <c r="L116" s="69"/>
      <c r="M116" s="69"/>
      <c r="N116" s="69"/>
      <c r="O116" s="69"/>
      <c r="P116" s="69"/>
      <c r="Q116" s="43" t="str">
        <f t="shared" ref="Q116:R116" si="35">IF($D116&lt;&gt;"",IFERROR(IF(_xlfn.XLOOKUP($D116,$D$35:$D$41,R$35:R$41)&gt;0,_xlfn.XLOOKUP($D116,$D$35:$D$41,R$35:R$41),""),""),"")</f>
        <v/>
      </c>
      <c r="R116" s="43" t="str">
        <f t="shared" si="35"/>
        <v/>
      </c>
      <c r="S116" s="43" t="str">
        <f t="shared" ref="S116:T116" si="36">IF($D116&lt;&gt;"",IFERROR(IF(_xlfn.XLOOKUP($D116,$D$74:$D$80,R$74:R$80)&gt;0,_xlfn.XLOOKUP($D116,$D$74:$D$80,R$74:R$80),""),""),"")</f>
        <v/>
      </c>
      <c r="T116" s="43" t="str">
        <f t="shared" si="36"/>
        <v/>
      </c>
      <c r="U116" s="67" t="str">
        <f t="shared" si="17"/>
        <v/>
      </c>
      <c r="V116" s="68" t="str">
        <f t="shared" si="22"/>
        <v/>
      </c>
      <c r="W116" s="213" t="str">
        <f t="shared" si="29"/>
        <v/>
      </c>
      <c r="X116" s="262" t="str">
        <f t="shared" si="32"/>
        <v/>
      </c>
      <c r="Y116" s="263"/>
      <c r="Z116" s="22"/>
      <c r="AA116" s="22"/>
      <c r="AB116" s="22"/>
      <c r="AC116" s="216"/>
      <c r="AD116" s="191">
        <f>_xlfn.IFNA(_xlfn.XLOOKUP(D116,HELPER_SUBJECTS!D:D,HELPER_SUBJECTS!F:F),0)</f>
        <v>0</v>
      </c>
      <c r="AE116" s="191">
        <f>_xlfn.IFNA(IF(D116&lt;&gt;"",_xlfn.XLOOKUP(D116,ANNEX!$F$52:$F$61,ANNEX!$H$52:$H$61),0),0)</f>
        <v>0</v>
      </c>
      <c r="AF116" s="196">
        <f t="shared" si="14"/>
        <v>0</v>
      </c>
      <c r="AG116" s="191"/>
    </row>
    <row r="117" spans="1:33" s="38" customFormat="1" ht="10.15" customHeight="1">
      <c r="A117" s="44">
        <v>12</v>
      </c>
      <c r="B117" s="230" t="str">
        <f>IF(D117&lt;&gt;"",_xlfn.XLOOKUP(D117,FRONT!$D$35:$D$80,FRONT!$B$35:$B$80),"")</f>
        <v/>
      </c>
      <c r="C117" s="231"/>
      <c r="D117" s="204"/>
      <c r="E117" s="69"/>
      <c r="F117" s="69"/>
      <c r="G117" s="69"/>
      <c r="H117" s="69"/>
      <c r="I117" s="69"/>
      <c r="J117" s="69"/>
      <c r="K117" s="69"/>
      <c r="L117" s="69"/>
      <c r="M117" s="69"/>
      <c r="N117" s="69"/>
      <c r="O117" s="69"/>
      <c r="P117" s="69"/>
      <c r="Q117" s="43" t="str">
        <f t="shared" ref="Q117:R117" si="37">IF($D117&lt;&gt;"",IFERROR(IF(_xlfn.XLOOKUP($D117,$D$35:$D$41,R$35:R$41)&gt;0,_xlfn.XLOOKUP($D117,$D$35:$D$41,R$35:R$41),""),""),"")</f>
        <v/>
      </c>
      <c r="R117" s="43" t="str">
        <f t="shared" si="37"/>
        <v/>
      </c>
      <c r="S117" s="43" t="str">
        <f t="shared" ref="S117:T117" si="38">IF($D117&lt;&gt;"",IFERROR(IF(_xlfn.XLOOKUP($D117,$D$74:$D$80,R$74:R$80)&gt;0,_xlfn.XLOOKUP($D117,$D$74:$D$80,R$74:R$80),""),""),"")</f>
        <v/>
      </c>
      <c r="T117" s="43" t="str">
        <f t="shared" si="38"/>
        <v/>
      </c>
      <c r="U117" s="67" t="str">
        <f t="shared" si="17"/>
        <v/>
      </c>
      <c r="V117" s="68" t="str">
        <f t="shared" si="22"/>
        <v/>
      </c>
      <c r="W117" s="213" t="str">
        <f t="shared" si="29"/>
        <v/>
      </c>
      <c r="X117" s="262" t="str">
        <f t="shared" si="32"/>
        <v/>
      </c>
      <c r="Y117" s="263"/>
      <c r="Z117" s="22"/>
      <c r="AA117" s="22"/>
      <c r="AB117" s="22"/>
      <c r="AC117" s="216"/>
      <c r="AD117" s="191">
        <f>_xlfn.IFNA(_xlfn.XLOOKUP(D117,HELPER_SUBJECTS!D:D,HELPER_SUBJECTS!F:F),0)</f>
        <v>0</v>
      </c>
      <c r="AE117" s="191">
        <f>_xlfn.IFNA(IF(D117&lt;&gt;"",_xlfn.XLOOKUP(D117,ANNEX!$F$52:$F$61,ANNEX!$H$52:$H$61),0),0)</f>
        <v>0</v>
      </c>
      <c r="AF117" s="196">
        <f t="shared" si="14"/>
        <v>0</v>
      </c>
      <c r="AG117" s="191"/>
    </row>
    <row r="118" spans="1:33" s="38" customFormat="1" ht="10.15" customHeight="1">
      <c r="A118" s="44">
        <v>13</v>
      </c>
      <c r="B118" s="230" t="str">
        <f>IF(D118&lt;&gt;"",_xlfn.XLOOKUP(D118,FRONT!$D$35:$D$80,FRONT!$B$35:$B$80),"")</f>
        <v/>
      </c>
      <c r="C118" s="231"/>
      <c r="D118" s="204"/>
      <c r="E118" s="69"/>
      <c r="F118" s="69"/>
      <c r="G118" s="69"/>
      <c r="H118" s="69"/>
      <c r="I118" s="69"/>
      <c r="J118" s="69"/>
      <c r="K118" s="69"/>
      <c r="L118" s="69"/>
      <c r="M118" s="69"/>
      <c r="N118" s="69"/>
      <c r="O118" s="69"/>
      <c r="P118" s="69"/>
      <c r="Q118" s="43" t="str">
        <f t="shared" ref="Q118:R118" si="39">IF($D118&lt;&gt;"",IFERROR(IF(_xlfn.XLOOKUP($D118,$D$35:$D$41,R$35:R$41)&gt;0,_xlfn.XLOOKUP($D118,$D$35:$D$41,R$35:R$41),""),""),"")</f>
        <v/>
      </c>
      <c r="R118" s="43" t="str">
        <f t="shared" si="39"/>
        <v/>
      </c>
      <c r="S118" s="43" t="str">
        <f t="shared" ref="S118:T118" si="40">IF($D118&lt;&gt;"",IFERROR(IF(_xlfn.XLOOKUP($D118,$D$74:$D$80,R$74:R$80)&gt;0,_xlfn.XLOOKUP($D118,$D$74:$D$80,R$74:R$80),""),""),"")</f>
        <v/>
      </c>
      <c r="T118" s="43" t="str">
        <f t="shared" si="40"/>
        <v/>
      </c>
      <c r="U118" s="67" t="str">
        <f t="shared" si="17"/>
        <v/>
      </c>
      <c r="V118" s="68" t="str">
        <f t="shared" si="22"/>
        <v/>
      </c>
      <c r="W118" s="213" t="str">
        <f t="shared" si="29"/>
        <v/>
      </c>
      <c r="X118" s="262" t="str">
        <f t="shared" si="32"/>
        <v/>
      </c>
      <c r="Y118" s="263"/>
      <c r="Z118" s="22"/>
      <c r="AA118" s="22"/>
      <c r="AB118" s="22"/>
      <c r="AC118" s="216"/>
      <c r="AD118" s="191">
        <f>_xlfn.IFNA(_xlfn.XLOOKUP(D118,HELPER_SUBJECTS!D:D,HELPER_SUBJECTS!F:F),0)</f>
        <v>0</v>
      </c>
      <c r="AE118" s="191">
        <f>_xlfn.IFNA(IF(D118&lt;&gt;"",_xlfn.XLOOKUP(D118,ANNEX!$F$52:$F$61,ANNEX!$H$52:$H$61),0),0)</f>
        <v>0</v>
      </c>
      <c r="AF118" s="196">
        <f t="shared" si="14"/>
        <v>0</v>
      </c>
      <c r="AG118" s="191"/>
    </row>
    <row r="119" spans="1:33" s="38" customFormat="1" ht="10.15" customHeight="1">
      <c r="A119" s="44">
        <v>14</v>
      </c>
      <c r="B119" s="230" t="str">
        <f>IF(D119&lt;&gt;"",_xlfn.XLOOKUP(D119,FRONT!$D$35:$D$80,FRONT!$B$35:$B$80),"")</f>
        <v/>
      </c>
      <c r="C119" s="231"/>
      <c r="D119" s="204"/>
      <c r="E119" s="69"/>
      <c r="F119" s="69"/>
      <c r="G119" s="69"/>
      <c r="H119" s="69"/>
      <c r="I119" s="69"/>
      <c r="J119" s="69"/>
      <c r="K119" s="69"/>
      <c r="L119" s="69"/>
      <c r="M119" s="69"/>
      <c r="N119" s="69"/>
      <c r="O119" s="69"/>
      <c r="P119" s="69"/>
      <c r="Q119" s="43" t="str">
        <f t="shared" ref="Q119:R119" si="41">IF($D119&lt;&gt;"",IFERROR(IF(_xlfn.XLOOKUP($D119,$D$35:$D$41,R$35:R$41)&gt;0,_xlfn.XLOOKUP($D119,$D$35:$D$41,R$35:R$41),""),""),"")</f>
        <v/>
      </c>
      <c r="R119" s="43" t="str">
        <f t="shared" si="41"/>
        <v/>
      </c>
      <c r="S119" s="43" t="str">
        <f t="shared" ref="S119:T119" si="42">IF($D119&lt;&gt;"",IFERROR(IF(_xlfn.XLOOKUP($D119,$D$74:$D$80,R$74:R$80)&gt;0,_xlfn.XLOOKUP($D119,$D$74:$D$80,R$74:R$80),""),""),"")</f>
        <v/>
      </c>
      <c r="T119" s="43" t="str">
        <f t="shared" si="42"/>
        <v/>
      </c>
      <c r="U119" s="67" t="str">
        <f t="shared" si="17"/>
        <v/>
      </c>
      <c r="V119" s="68" t="str">
        <f t="shared" si="22"/>
        <v/>
      </c>
      <c r="W119" s="213" t="str">
        <f t="shared" si="29"/>
        <v/>
      </c>
      <c r="X119" s="262" t="str">
        <f t="shared" si="32"/>
        <v/>
      </c>
      <c r="Y119" s="263"/>
      <c r="Z119" s="22"/>
      <c r="AA119" s="22"/>
      <c r="AB119" s="22"/>
      <c r="AC119" s="216"/>
      <c r="AD119" s="191">
        <f>_xlfn.IFNA(_xlfn.XLOOKUP(D119,HELPER_SUBJECTS!D:D,HELPER_SUBJECTS!F:F),0)</f>
        <v>0</v>
      </c>
      <c r="AE119" s="191">
        <f>_xlfn.IFNA(IF(D119&lt;&gt;"",_xlfn.XLOOKUP(D119,ANNEX!$F$52:$F$61,ANNEX!$H$52:$H$61),0),0)</f>
        <v>0</v>
      </c>
      <c r="AF119" s="196">
        <f t="shared" si="14"/>
        <v>0</v>
      </c>
      <c r="AG119" s="191"/>
    </row>
    <row r="120" spans="1:33" s="38" customFormat="1" ht="10.15" customHeight="1">
      <c r="A120" s="44">
        <v>15</v>
      </c>
      <c r="B120" s="230" t="str">
        <f>IF(D120&lt;&gt;"",_xlfn.XLOOKUP(D120,FRONT!$D$35:$D$80,FRONT!$B$35:$B$80),"")</f>
        <v/>
      </c>
      <c r="C120" s="231"/>
      <c r="D120" s="204"/>
      <c r="E120" s="69"/>
      <c r="F120" s="69"/>
      <c r="G120" s="69"/>
      <c r="H120" s="69"/>
      <c r="I120" s="69"/>
      <c r="J120" s="69"/>
      <c r="K120" s="69"/>
      <c r="L120" s="69"/>
      <c r="M120" s="69"/>
      <c r="N120" s="69"/>
      <c r="O120" s="69"/>
      <c r="P120" s="69"/>
      <c r="Q120" s="43" t="str">
        <f t="shared" ref="Q120:R120" si="43">IF($D120&lt;&gt;"",IFERROR(IF(_xlfn.XLOOKUP($D120,$D$35:$D$41,R$35:R$41)&gt;0,_xlfn.XLOOKUP($D120,$D$35:$D$41,R$35:R$41),""),""),"")</f>
        <v/>
      </c>
      <c r="R120" s="43" t="str">
        <f t="shared" si="43"/>
        <v/>
      </c>
      <c r="S120" s="43" t="str">
        <f t="shared" ref="S120:T120" si="44">IF($D120&lt;&gt;"",IFERROR(IF(_xlfn.XLOOKUP($D120,$D$74:$D$80,R$74:R$80)&gt;0,_xlfn.XLOOKUP($D120,$D$74:$D$80,R$74:R$80),""),""),"")</f>
        <v/>
      </c>
      <c r="T120" s="43" t="str">
        <f t="shared" si="44"/>
        <v/>
      </c>
      <c r="U120" s="67" t="str">
        <f t="shared" si="17"/>
        <v/>
      </c>
      <c r="V120" s="68" t="str">
        <f t="shared" si="22"/>
        <v/>
      </c>
      <c r="W120" s="213" t="str">
        <f t="shared" si="29"/>
        <v/>
      </c>
      <c r="X120" s="262" t="str">
        <f t="shared" si="32"/>
        <v/>
      </c>
      <c r="Y120" s="263"/>
      <c r="Z120" s="22"/>
      <c r="AA120" s="22"/>
      <c r="AB120" s="22"/>
      <c r="AC120" s="216"/>
      <c r="AD120" s="191">
        <f>_xlfn.IFNA(_xlfn.XLOOKUP(D120,HELPER_SUBJECTS!D:D,HELPER_SUBJECTS!F:F),0)</f>
        <v>0</v>
      </c>
      <c r="AE120" s="191">
        <f>_xlfn.IFNA(IF(D120&lt;&gt;"",_xlfn.XLOOKUP(D120,ANNEX!$F$52:$F$61,ANNEX!$H$52:$H$61),0),0)</f>
        <v>0</v>
      </c>
      <c r="AF120" s="196">
        <f t="shared" si="14"/>
        <v>0</v>
      </c>
      <c r="AG120" s="191"/>
    </row>
    <row r="121" spans="1:33" s="38" customFormat="1" ht="10.15" customHeight="1">
      <c r="A121" s="44">
        <v>16</v>
      </c>
      <c r="B121" s="230" t="str">
        <f>IF(D121&lt;&gt;"",_xlfn.XLOOKUP(D121,FRONT!$D$35:$D$80,FRONT!$B$35:$B$80),"")</f>
        <v/>
      </c>
      <c r="C121" s="231"/>
      <c r="D121" s="204"/>
      <c r="E121" s="69"/>
      <c r="F121" s="69"/>
      <c r="G121" s="69"/>
      <c r="H121" s="69"/>
      <c r="I121" s="69"/>
      <c r="J121" s="69"/>
      <c r="K121" s="69"/>
      <c r="L121" s="69"/>
      <c r="M121" s="69"/>
      <c r="N121" s="69"/>
      <c r="O121" s="69"/>
      <c r="P121" s="69"/>
      <c r="Q121" s="43" t="str">
        <f t="shared" ref="Q121:R121" si="45">IF($D121&lt;&gt;"",IFERROR(IF(_xlfn.XLOOKUP($D121,$D$35:$D$41,R$35:R$41)&gt;0,_xlfn.XLOOKUP($D121,$D$35:$D$41,R$35:R$41),""),""),"")</f>
        <v/>
      </c>
      <c r="R121" s="43" t="str">
        <f t="shared" si="45"/>
        <v/>
      </c>
      <c r="S121" s="43" t="str">
        <f t="shared" ref="S121:T121" si="46">IF($D121&lt;&gt;"",IFERROR(IF(_xlfn.XLOOKUP($D121,$D$74:$D$80,R$74:R$80)&gt;0,_xlfn.XLOOKUP($D121,$D$74:$D$80,R$74:R$80),""),""),"")</f>
        <v/>
      </c>
      <c r="T121" s="43" t="str">
        <f t="shared" si="46"/>
        <v/>
      </c>
      <c r="U121" s="67" t="str">
        <f t="shared" si="17"/>
        <v/>
      </c>
      <c r="V121" s="68" t="str">
        <f t="shared" si="22"/>
        <v/>
      </c>
      <c r="W121" s="213" t="str">
        <f t="shared" si="29"/>
        <v/>
      </c>
      <c r="X121" s="262" t="str">
        <f t="shared" si="32"/>
        <v/>
      </c>
      <c r="Y121" s="263"/>
      <c r="Z121" s="22"/>
      <c r="AA121" s="22"/>
      <c r="AB121" s="22"/>
      <c r="AC121" s="216"/>
      <c r="AD121" s="191">
        <f>_xlfn.IFNA(_xlfn.XLOOKUP(D121,HELPER_SUBJECTS!D:D,HELPER_SUBJECTS!F:F),0)</f>
        <v>0</v>
      </c>
      <c r="AE121" s="191">
        <f>_xlfn.IFNA(IF(D121&lt;&gt;"",_xlfn.XLOOKUP(D121,ANNEX!$F$52:$F$61,ANNEX!$H$52:$H$61),0),0)</f>
        <v>0</v>
      </c>
      <c r="AF121" s="196">
        <f t="shared" si="14"/>
        <v>0</v>
      </c>
      <c r="AG121" s="191"/>
    </row>
    <row r="122" spans="1:33" s="38" customFormat="1" ht="10.15" customHeight="1">
      <c r="A122" s="57">
        <v>17</v>
      </c>
      <c r="B122" s="274" t="str">
        <f>IF(D122&lt;&gt;"",_xlfn.XLOOKUP(D122,FRONT!$D$35:$D$80,FRONT!$B$35:$B$80),"")</f>
        <v/>
      </c>
      <c r="C122" s="275"/>
      <c r="D122" s="205"/>
      <c r="E122" s="71"/>
      <c r="F122" s="71"/>
      <c r="G122" s="71"/>
      <c r="H122" s="71"/>
      <c r="I122" s="71"/>
      <c r="J122" s="71"/>
      <c r="K122" s="71"/>
      <c r="L122" s="71"/>
      <c r="M122" s="71"/>
      <c r="N122" s="71"/>
      <c r="O122" s="71"/>
      <c r="P122" s="71"/>
      <c r="Q122" s="72" t="str">
        <f t="shared" ref="Q122:R122" si="47">IF($D122&lt;&gt;"",IFERROR(IF(_xlfn.XLOOKUP($D122,$D$35:$D$41,R$35:R$41)&gt;0,_xlfn.XLOOKUP($D122,$D$35:$D$41,R$35:R$41),""),""),"")</f>
        <v/>
      </c>
      <c r="R122" s="72" t="str">
        <f t="shared" si="47"/>
        <v/>
      </c>
      <c r="S122" s="72" t="str">
        <f t="shared" ref="S122:T122" si="48">IF($D122&lt;&gt;"",IFERROR(IF(_xlfn.XLOOKUP($D122,$D$74:$D$80,R$74:R$80)&gt;0,_xlfn.XLOOKUP($D122,$D$74:$D$80,R$74:R$80),""),""),"")</f>
        <v/>
      </c>
      <c r="T122" s="72" t="str">
        <f t="shared" si="48"/>
        <v/>
      </c>
      <c r="U122" s="67" t="str">
        <f t="shared" si="17"/>
        <v/>
      </c>
      <c r="V122" s="68" t="str">
        <f t="shared" si="22"/>
        <v/>
      </c>
      <c r="W122" s="215" t="str">
        <f>IFERROR(IF(COUNT(U122:V122)&gt;0,ROUND(
    (SUM(Q122:V122) - SUMIF(Q122:T122,"&lt;75",Q122:T122))
    / COUNTIF(Q122:V122, "&gt;=75"),
0
),
IF(COUNT(Q122:T122)=AF122,ROUND(AVERAGE(Q122:T122),0),"")),"")</f>
        <v/>
      </c>
      <c r="X122" s="284" t="str">
        <f t="shared" si="32"/>
        <v/>
      </c>
      <c r="Y122" s="285"/>
      <c r="Z122" s="22"/>
      <c r="AA122" s="22"/>
      <c r="AB122" s="22"/>
      <c r="AC122" s="216"/>
      <c r="AD122" s="191">
        <f>_xlfn.IFNA(_xlfn.XLOOKUP(D122,HELPER_SUBJECTS!D:D,HELPER_SUBJECTS!F:F),0)</f>
        <v>0</v>
      </c>
      <c r="AE122" s="191">
        <f>_xlfn.IFNA(IF(D122&lt;&gt;"",_xlfn.XLOOKUP(D122,ANNEX!$F$52:$F$61,ANNEX!$H$52:$H$61),0),0)</f>
        <v>0</v>
      </c>
      <c r="AF122" s="196">
        <f t="shared" si="14"/>
        <v>0</v>
      </c>
      <c r="AG122" s="191"/>
    </row>
    <row r="123" spans="1:33" ht="14.45" customHeight="1">
      <c r="A123" s="264" t="s">
        <v>96</v>
      </c>
      <c r="B123" s="265"/>
      <c r="C123" s="265"/>
      <c r="D123" s="265"/>
      <c r="E123" s="265"/>
      <c r="F123" s="265"/>
      <c r="G123" s="265"/>
      <c r="H123" s="265"/>
      <c r="I123" s="265"/>
      <c r="J123" s="265"/>
      <c r="K123" s="265"/>
      <c r="L123" s="265"/>
      <c r="M123" s="265"/>
      <c r="N123" s="265"/>
      <c r="O123" s="265"/>
      <c r="P123" s="265"/>
      <c r="Q123" s="265"/>
      <c r="R123" s="265"/>
      <c r="S123" s="265"/>
      <c r="T123" s="265"/>
      <c r="U123" s="265"/>
      <c r="V123" s="266"/>
      <c r="W123" s="222" t="str">
        <f>IFERROR(ROUND(AVERAGE(W104,W107:W122),),"")</f>
        <v/>
      </c>
      <c r="X123" s="261" t="str">
        <f>IF(AND(W123&gt;0,W123&lt;&gt;""),IF(W123&lt;75,"FAILED","PASSED"),"")</f>
        <v/>
      </c>
      <c r="Y123" s="261"/>
      <c r="AC123" s="216"/>
    </row>
    <row r="124" spans="1:33" s="38" customFormat="1">
      <c r="A124" s="166"/>
      <c r="Y124" s="167" t="s">
        <v>97</v>
      </c>
      <c r="Z124" s="22"/>
      <c r="AA124" s="22"/>
      <c r="AB124" s="22"/>
      <c r="AC124" s="216"/>
      <c r="AD124" s="190"/>
      <c r="AE124" s="191"/>
      <c r="AF124" s="196"/>
      <c r="AG124" s="191"/>
    </row>
    <row r="125" spans="1:33" s="38" customFormat="1" ht="9.6">
      <c r="Z125" s="22"/>
      <c r="AA125" s="22"/>
      <c r="AB125" s="22"/>
      <c r="AC125" s="216"/>
      <c r="AD125" s="190"/>
      <c r="AE125" s="191"/>
      <c r="AF125" s="196"/>
      <c r="AG125" s="191"/>
    </row>
    <row r="126" spans="1:33" s="38" customFormat="1" ht="9.6" hidden="1">
      <c r="Z126" s="22"/>
      <c r="AA126" s="22"/>
      <c r="AB126" s="22"/>
      <c r="AC126" s="216"/>
      <c r="AD126" s="190"/>
      <c r="AE126" s="191"/>
      <c r="AF126" s="196"/>
      <c r="AG126" s="191"/>
    </row>
    <row r="127" spans="1:33" s="38" customFormat="1" ht="9.6" hidden="1">
      <c r="Z127" s="22"/>
      <c r="AA127" s="22"/>
      <c r="AB127" s="22"/>
      <c r="AC127" s="216"/>
      <c r="AD127" s="190"/>
      <c r="AE127" s="191"/>
      <c r="AF127" s="196"/>
      <c r="AG127" s="191"/>
    </row>
    <row r="128" spans="1:33" s="38" customFormat="1" ht="9.6" hidden="1">
      <c r="Z128" s="22"/>
      <c r="AA128" s="22"/>
      <c r="AB128" s="22"/>
      <c r="AC128" s="216"/>
      <c r="AD128" s="190"/>
      <c r="AE128" s="191"/>
      <c r="AF128" s="196"/>
      <c r="AG128" s="191"/>
    </row>
    <row r="129" spans="26:33" s="38" customFormat="1" ht="9.6" hidden="1">
      <c r="Z129" s="22"/>
      <c r="AA129" s="22"/>
      <c r="AB129" s="22"/>
      <c r="AC129" s="216"/>
      <c r="AD129" s="190"/>
      <c r="AE129" s="191"/>
      <c r="AF129" s="196"/>
      <c r="AG129" s="191"/>
    </row>
    <row r="130" spans="26:33" s="38" customFormat="1" ht="9.6" hidden="1">
      <c r="Z130" s="22"/>
      <c r="AA130" s="22"/>
      <c r="AB130" s="22"/>
      <c r="AC130" s="216"/>
      <c r="AD130" s="190"/>
      <c r="AE130" s="191"/>
      <c r="AF130" s="196"/>
      <c r="AG130" s="191"/>
    </row>
    <row r="131" spans="26:33" s="38" customFormat="1" ht="9.6" hidden="1">
      <c r="Z131" s="22"/>
      <c r="AA131" s="22"/>
      <c r="AB131" s="22"/>
      <c r="AC131" s="216"/>
      <c r="AD131" s="190"/>
      <c r="AE131" s="191"/>
      <c r="AF131" s="196"/>
      <c r="AG131" s="191"/>
    </row>
    <row r="132" spans="26:33" s="38" customFormat="1" ht="9.6" hidden="1">
      <c r="Z132" s="22"/>
      <c r="AA132" s="22"/>
      <c r="AB132" s="22"/>
      <c r="AC132" s="216"/>
      <c r="AD132" s="190"/>
      <c r="AE132" s="191"/>
      <c r="AF132" s="196"/>
      <c r="AG132" s="191"/>
    </row>
  </sheetData>
  <sheetProtection algorithmName="SHA-512" hashValue="WvJOKyLFysvfervC8bASwifJ9qMKpQE3Crny+J3xaJw5xUnD4a3O8ysQwIR0uylNBie34zwCg7QOJZcJbjrrYQ==" saltValue="trtg7j4fKD83tgW+HPRQag==" spinCount="100000" sheet="1" formatCells="0"/>
  <mergeCells count="298">
    <mergeCell ref="C62:O62"/>
    <mergeCell ref="K7:P7"/>
    <mergeCell ref="S7:V7"/>
    <mergeCell ref="M13:S13"/>
    <mergeCell ref="N16:Y16"/>
    <mergeCell ref="V15:Y15"/>
    <mergeCell ref="X115:Y115"/>
    <mergeCell ref="X116:Y116"/>
    <mergeCell ref="A90:C90"/>
    <mergeCell ref="D66:Q66"/>
    <mergeCell ref="W66:Y66"/>
    <mergeCell ref="B67:C67"/>
    <mergeCell ref="D67:Q67"/>
    <mergeCell ref="U67:V67"/>
    <mergeCell ref="W86:Y86"/>
    <mergeCell ref="U77:V77"/>
    <mergeCell ref="B76:C76"/>
    <mergeCell ref="D76:Q76"/>
    <mergeCell ref="B70:C70"/>
    <mergeCell ref="D70:Q70"/>
    <mergeCell ref="U70:V70"/>
    <mergeCell ref="W74:Y74"/>
    <mergeCell ref="W67:Y73"/>
    <mergeCell ref="B75:C75"/>
    <mergeCell ref="X117:Y117"/>
    <mergeCell ref="X119:Y119"/>
    <mergeCell ref="X120:Y120"/>
    <mergeCell ref="V13:Y13"/>
    <mergeCell ref="W90:Y91"/>
    <mergeCell ref="D92:Q92"/>
    <mergeCell ref="U92:V92"/>
    <mergeCell ref="W92:Y92"/>
    <mergeCell ref="U75:V75"/>
    <mergeCell ref="S62:U62"/>
    <mergeCell ref="W62:Y62"/>
    <mergeCell ref="U39:V39"/>
    <mergeCell ref="U41:V41"/>
    <mergeCell ref="D34:Q34"/>
    <mergeCell ref="D35:Q35"/>
    <mergeCell ref="D37:Q37"/>
    <mergeCell ref="D38:Q38"/>
    <mergeCell ref="R51:R52"/>
    <mergeCell ref="S51:S52"/>
    <mergeCell ref="T51:T52"/>
    <mergeCell ref="W61:Y61"/>
    <mergeCell ref="H89:J89"/>
    <mergeCell ref="L89:N89"/>
    <mergeCell ref="U76:V76"/>
    <mergeCell ref="L88:N88"/>
    <mergeCell ref="X113:Y113"/>
    <mergeCell ref="B92:C92"/>
    <mergeCell ref="B95:C95"/>
    <mergeCell ref="D95:Q95"/>
    <mergeCell ref="U95:V95"/>
    <mergeCell ref="W95:Y95"/>
    <mergeCell ref="U90:V91"/>
    <mergeCell ref="D90:Q90"/>
    <mergeCell ref="D94:Q94"/>
    <mergeCell ref="U94:V94"/>
    <mergeCell ref="W94:Y94"/>
    <mergeCell ref="D97:Q97"/>
    <mergeCell ref="D106:P106"/>
    <mergeCell ref="A100:Y100"/>
    <mergeCell ref="B93:C93"/>
    <mergeCell ref="D93:Q93"/>
    <mergeCell ref="U93:V93"/>
    <mergeCell ref="A91:C91"/>
    <mergeCell ref="D91:Q91"/>
    <mergeCell ref="R90:R91"/>
    <mergeCell ref="S90:S91"/>
    <mergeCell ref="T90:T91"/>
    <mergeCell ref="X106:Y106"/>
    <mergeCell ref="B80:C80"/>
    <mergeCell ref="D80:Q80"/>
    <mergeCell ref="U80:V80"/>
    <mergeCell ref="B72:C72"/>
    <mergeCell ref="D72:Q72"/>
    <mergeCell ref="AC68:AC69"/>
    <mergeCell ref="B69:C69"/>
    <mergeCell ref="D69:Q69"/>
    <mergeCell ref="U69:V69"/>
    <mergeCell ref="B68:C68"/>
    <mergeCell ref="D68:Q68"/>
    <mergeCell ref="W80:Y80"/>
    <mergeCell ref="B77:C77"/>
    <mergeCell ref="B74:C74"/>
    <mergeCell ref="D74:Q74"/>
    <mergeCell ref="U74:V74"/>
    <mergeCell ref="B71:C71"/>
    <mergeCell ref="D71:Q71"/>
    <mergeCell ref="U71:V71"/>
    <mergeCell ref="B73:C73"/>
    <mergeCell ref="D73:Q73"/>
    <mergeCell ref="U73:V73"/>
    <mergeCell ref="D77:Q77"/>
    <mergeCell ref="D75:Q75"/>
    <mergeCell ref="Q49:U49"/>
    <mergeCell ref="B53:C53"/>
    <mergeCell ref="D53:Q53"/>
    <mergeCell ref="U35:V35"/>
    <mergeCell ref="U36:V36"/>
    <mergeCell ref="U37:V37"/>
    <mergeCell ref="U38:V38"/>
    <mergeCell ref="B33:C33"/>
    <mergeCell ref="B40:C40"/>
    <mergeCell ref="D39:Q39"/>
    <mergeCell ref="D41:Q41"/>
    <mergeCell ref="D51:Q51"/>
    <mergeCell ref="D52:Q52"/>
    <mergeCell ref="U51:V52"/>
    <mergeCell ref="H49:J49"/>
    <mergeCell ref="L49:N49"/>
    <mergeCell ref="L50:N50"/>
    <mergeCell ref="H50:J50"/>
    <mergeCell ref="AC29:AC30"/>
    <mergeCell ref="A46:J46"/>
    <mergeCell ref="L46:U46"/>
    <mergeCell ref="C43:Y43"/>
    <mergeCell ref="B34:C34"/>
    <mergeCell ref="B35:C35"/>
    <mergeCell ref="W55:Y55"/>
    <mergeCell ref="W56:Y56"/>
    <mergeCell ref="B55:C55"/>
    <mergeCell ref="U55:V55"/>
    <mergeCell ref="B56:C56"/>
    <mergeCell ref="U56:V56"/>
    <mergeCell ref="B54:C54"/>
    <mergeCell ref="D54:Q54"/>
    <mergeCell ref="U54:V54"/>
    <mergeCell ref="D55:Q55"/>
    <mergeCell ref="W37:Y37"/>
    <mergeCell ref="W38:Y38"/>
    <mergeCell ref="W39:Y39"/>
    <mergeCell ref="W41:Y41"/>
    <mergeCell ref="U30:V30"/>
    <mergeCell ref="U31:V31"/>
    <mergeCell ref="U32:V32"/>
    <mergeCell ref="B41:C41"/>
    <mergeCell ref="P8:Q8"/>
    <mergeCell ref="W8:Y8"/>
    <mergeCell ref="K8:M8"/>
    <mergeCell ref="C7:H7"/>
    <mergeCell ref="W28:Y34"/>
    <mergeCell ref="W40:Y40"/>
    <mergeCell ref="B30:C30"/>
    <mergeCell ref="B37:C37"/>
    <mergeCell ref="B38:C38"/>
    <mergeCell ref="B39:C39"/>
    <mergeCell ref="B36:C36"/>
    <mergeCell ref="W25:Y26"/>
    <mergeCell ref="W27:Y27"/>
    <mergeCell ref="B31:C31"/>
    <mergeCell ref="B32:C32"/>
    <mergeCell ref="B28:C28"/>
    <mergeCell ref="U28:V28"/>
    <mergeCell ref="B29:C29"/>
    <mergeCell ref="U29:V29"/>
    <mergeCell ref="D25:Q26"/>
    <mergeCell ref="D27:Q27"/>
    <mergeCell ref="A27:C27"/>
    <mergeCell ref="D36:Q36"/>
    <mergeCell ref="C8:H8"/>
    <mergeCell ref="D32:Q32"/>
    <mergeCell ref="W35:Y35"/>
    <mergeCell ref="W36:Y36"/>
    <mergeCell ref="U33:V33"/>
    <mergeCell ref="D40:Q40"/>
    <mergeCell ref="U40:V40"/>
    <mergeCell ref="U34:V34"/>
    <mergeCell ref="D29:Q29"/>
    <mergeCell ref="D30:Q30"/>
    <mergeCell ref="W9:Y9"/>
    <mergeCell ref="K9:M9"/>
    <mergeCell ref="A25:C26"/>
    <mergeCell ref="T26:T27"/>
    <mergeCell ref="U26:V27"/>
    <mergeCell ref="D28:Q28"/>
    <mergeCell ref="X18:Y18"/>
    <mergeCell ref="R25:S26"/>
    <mergeCell ref="T25:V25"/>
    <mergeCell ref="H15:I15"/>
    <mergeCell ref="G16:I16"/>
    <mergeCell ref="G17:I17"/>
    <mergeCell ref="H12:I12"/>
    <mergeCell ref="G13:I13"/>
    <mergeCell ref="G14:I14"/>
    <mergeCell ref="R12:S12"/>
    <mergeCell ref="P15:Q15"/>
    <mergeCell ref="W23:Y23"/>
    <mergeCell ref="W22:Y22"/>
    <mergeCell ref="C22:K22"/>
    <mergeCell ref="C23:O23"/>
    <mergeCell ref="W46:Y46"/>
    <mergeCell ref="N22:O22"/>
    <mergeCell ref="S23:U23"/>
    <mergeCell ref="S22:T22"/>
    <mergeCell ref="D31:Q31"/>
    <mergeCell ref="B94:C94"/>
    <mergeCell ref="T58:Y58"/>
    <mergeCell ref="A51:C51"/>
    <mergeCell ref="A52:C52"/>
    <mergeCell ref="U53:V53"/>
    <mergeCell ref="W47:Y47"/>
    <mergeCell ref="U68:V68"/>
    <mergeCell ref="R64:S65"/>
    <mergeCell ref="T64:V64"/>
    <mergeCell ref="W64:Y65"/>
    <mergeCell ref="W53:Y53"/>
    <mergeCell ref="W54:Y54"/>
    <mergeCell ref="C61:K61"/>
    <mergeCell ref="N61:O61"/>
    <mergeCell ref="S61:T61"/>
    <mergeCell ref="D56:Q56"/>
    <mergeCell ref="X49:Y49"/>
    <mergeCell ref="W51:Y52"/>
    <mergeCell ref="D58:Q58"/>
    <mergeCell ref="T65:T66"/>
    <mergeCell ref="U65:V66"/>
    <mergeCell ref="A66:C66"/>
    <mergeCell ref="D64:Q65"/>
    <mergeCell ref="X122:Y122"/>
    <mergeCell ref="X114:Y114"/>
    <mergeCell ref="X111:Y111"/>
    <mergeCell ref="X112:Y112"/>
    <mergeCell ref="D33:Q33"/>
    <mergeCell ref="X109:Y109"/>
    <mergeCell ref="X110:Y110"/>
    <mergeCell ref="X107:Y107"/>
    <mergeCell ref="W75:Y75"/>
    <mergeCell ref="W76:Y76"/>
    <mergeCell ref="W77:Y77"/>
    <mergeCell ref="B104:C104"/>
    <mergeCell ref="B107:C107"/>
    <mergeCell ref="B108:C108"/>
    <mergeCell ref="B110:C110"/>
    <mergeCell ref="X108:Y108"/>
    <mergeCell ref="T97:Y97"/>
    <mergeCell ref="D110:P110"/>
    <mergeCell ref="U72:V72"/>
    <mergeCell ref="A64:C65"/>
    <mergeCell ref="W93:Y93"/>
    <mergeCell ref="Q88:U88"/>
    <mergeCell ref="X123:Y123"/>
    <mergeCell ref="X118:Y118"/>
    <mergeCell ref="X121:Y121"/>
    <mergeCell ref="A123:V123"/>
    <mergeCell ref="X104:Y104"/>
    <mergeCell ref="W101:Y101"/>
    <mergeCell ref="R102:R103"/>
    <mergeCell ref="S102:S103"/>
    <mergeCell ref="T102:T103"/>
    <mergeCell ref="W102:W103"/>
    <mergeCell ref="X102:Y103"/>
    <mergeCell ref="D107:P107"/>
    <mergeCell ref="A101:C102"/>
    <mergeCell ref="B109:C109"/>
    <mergeCell ref="D108:P108"/>
    <mergeCell ref="D109:P109"/>
    <mergeCell ref="A103:C103"/>
    <mergeCell ref="B106:C106"/>
    <mergeCell ref="B120:C120"/>
    <mergeCell ref="B121:C121"/>
    <mergeCell ref="B122:C122"/>
    <mergeCell ref="B118:C118"/>
    <mergeCell ref="B119:C119"/>
    <mergeCell ref="U101:V101"/>
    <mergeCell ref="Q101:T101"/>
    <mergeCell ref="Q102:Q103"/>
    <mergeCell ref="U102:V102"/>
    <mergeCell ref="D101:P102"/>
    <mergeCell ref="D103:P103"/>
    <mergeCell ref="D104:P104"/>
    <mergeCell ref="D105:P105"/>
    <mergeCell ref="B117:C117"/>
    <mergeCell ref="X105:Y105"/>
    <mergeCell ref="AA22:AA56"/>
    <mergeCell ref="AA61:AA95"/>
    <mergeCell ref="B111:C111"/>
    <mergeCell ref="B112:C112"/>
    <mergeCell ref="B113:C113"/>
    <mergeCell ref="B114:C114"/>
    <mergeCell ref="B115:C115"/>
    <mergeCell ref="B116:C116"/>
    <mergeCell ref="X88:Y88"/>
    <mergeCell ref="W79:Y79"/>
    <mergeCell ref="U79:V79"/>
    <mergeCell ref="W78:Y78"/>
    <mergeCell ref="U78:V78"/>
    <mergeCell ref="D79:Q79"/>
    <mergeCell ref="B79:C79"/>
    <mergeCell ref="D78:Q78"/>
    <mergeCell ref="B78:C78"/>
    <mergeCell ref="C82:Y82"/>
    <mergeCell ref="A85:J85"/>
    <mergeCell ref="L85:U85"/>
    <mergeCell ref="W85:Y85"/>
    <mergeCell ref="H88:J88"/>
    <mergeCell ref="B105:C105"/>
  </mergeCells>
  <phoneticPr fontId="8" type="noConversion"/>
  <conditionalFormatting sqref="H12:I12 G13:I13">
    <cfRule type="expression" dxfId="11" priority="10">
      <formula>AND($AC$12=1,OR($G$13="",$G$13=""))</formula>
    </cfRule>
  </conditionalFormatting>
  <conditionalFormatting sqref="H15:I15 G16:I16">
    <cfRule type="expression" dxfId="10" priority="7">
      <formula>AND($AC$12=3,OR($H$15="",$G$16=""))</formula>
    </cfRule>
  </conditionalFormatting>
  <conditionalFormatting sqref="P15:Q15 N16">
    <cfRule type="expression" dxfId="9" priority="6">
      <formula>AND($AC$12=4,OR($P$15="",$N$16=""))</formula>
    </cfRule>
  </conditionalFormatting>
  <conditionalFormatting sqref="R12:S12 M13 V13:Y13">
    <cfRule type="expression" dxfId="8" priority="8">
      <formula>AND($AC$12=2,OR($R$12="",$N$13="",$V$13="",$M$13=""))</formula>
    </cfRule>
  </conditionalFormatting>
  <conditionalFormatting sqref="T35:V41">
    <cfRule type="expression" dxfId="7" priority="2">
      <formula>$AD35=4</formula>
    </cfRule>
  </conditionalFormatting>
  <conditionalFormatting sqref="T74:V80">
    <cfRule type="expression" dxfId="6" priority="1">
      <formula>$AD74=4</formula>
    </cfRule>
  </conditionalFormatting>
  <conditionalFormatting sqref="V15:Y15">
    <cfRule type="expression" dxfId="5" priority="4">
      <formula>AND($AC$12=5,$V$15="")</formula>
    </cfRule>
  </conditionalFormatting>
  <conditionalFormatting sqref="W104:W122">
    <cfRule type="expression" dxfId="4" priority="11">
      <formula>X104="FAILED"</formula>
    </cfRule>
  </conditionalFormatting>
  <dataValidations count="4">
    <dataValidation type="list" allowBlank="1" showInputMessage="1" showErrorMessage="1" sqref="B92:C95 B53:C56" xr:uid="{234DC5FA-54EB-4AB1-921F-AABCEFB2D413}">
      <formula1>"CORE, ACADEMIC, TECHPRO"</formula1>
    </dataValidation>
    <dataValidation type="list" allowBlank="1" showInputMessage="1" showErrorMessage="1" sqref="P8" xr:uid="{54E70928-D7AF-4A64-AC47-0896E665357A}">
      <formula1>"FEMALE, MALE"</formula1>
    </dataValidation>
    <dataValidation type="list" allowBlank="1" showInputMessage="1" showErrorMessage="1" sqref="D35:Q41 D74:Q80 D92:Q95 D53:Q56" xr:uid="{43D7E499-9E17-4D3E-BC2C-8874984D61BE}">
      <formula1>INDIRECT($AC35)</formula1>
    </dataValidation>
    <dataValidation type="list" allowBlank="1" showInputMessage="1" showErrorMessage="1" sqref="B35:C41 B74:C80 C23 C62" xr:uid="{13D98ECA-74C9-4E99-99A8-349CD30C2F33}">
      <formula1>"ACADEMIC, TECHPRO"</formula1>
    </dataValidation>
  </dataValidations>
  <printOptions horizontalCentered="1"/>
  <pageMargins left="0.19685039370078741" right="0.19685039370078741" top="0.19685039370078741" bottom="0.15748031496062992" header="0" footer="0"/>
  <pageSetup paperSize="177" scale="68" orientation="portrait" r:id="rId1"/>
  <colBreaks count="1" manualBreakCount="1">
    <brk id="24"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9" r:id="rId4" name="Option Button 5">
              <controlPr locked="0" defaultSize="0" autoFill="0" autoLine="0" autoPict="0">
                <anchor moveWithCells="1">
                  <from>
                    <xdr:col>0</xdr:col>
                    <xdr:colOff>213360</xdr:colOff>
                    <xdr:row>9</xdr:row>
                    <xdr:rowOff>160020</xdr:rowOff>
                  </from>
                  <to>
                    <xdr:col>1</xdr:col>
                    <xdr:colOff>53340</xdr:colOff>
                    <xdr:row>12</xdr:row>
                    <xdr:rowOff>60960</xdr:rowOff>
                  </to>
                </anchor>
              </controlPr>
            </control>
          </mc:Choice>
        </mc:AlternateContent>
        <mc:AlternateContent xmlns:mc="http://schemas.openxmlformats.org/markup-compatibility/2006">
          <mc:Choice Requires="x14">
            <control shapeId="1030" r:id="rId5" name="Option Button 6">
              <controlPr locked="0" defaultSize="0" autoFill="0" autoLine="0" autoPict="0">
                <anchor moveWithCells="1">
                  <from>
                    <xdr:col>9</xdr:col>
                    <xdr:colOff>213360</xdr:colOff>
                    <xdr:row>9</xdr:row>
                    <xdr:rowOff>152400</xdr:rowOff>
                  </from>
                  <to>
                    <xdr:col>10</xdr:col>
                    <xdr:colOff>53340</xdr:colOff>
                    <xdr:row>12</xdr:row>
                    <xdr:rowOff>68580</xdr:rowOff>
                  </to>
                </anchor>
              </controlPr>
            </control>
          </mc:Choice>
        </mc:AlternateContent>
        <mc:AlternateContent xmlns:mc="http://schemas.openxmlformats.org/markup-compatibility/2006">
          <mc:Choice Requires="x14">
            <control shapeId="1032" r:id="rId6" name="Option Button 8">
              <controlPr locked="0" defaultSize="0" autoFill="0" autoLine="0" autoPict="0">
                <anchor moveWithCells="1">
                  <from>
                    <xdr:col>0</xdr:col>
                    <xdr:colOff>213360</xdr:colOff>
                    <xdr:row>13</xdr:row>
                    <xdr:rowOff>22860</xdr:rowOff>
                  </from>
                  <to>
                    <xdr:col>1</xdr:col>
                    <xdr:colOff>53340</xdr:colOff>
                    <xdr:row>15</xdr:row>
                    <xdr:rowOff>83820</xdr:rowOff>
                  </to>
                </anchor>
              </controlPr>
            </control>
          </mc:Choice>
        </mc:AlternateContent>
        <mc:AlternateContent xmlns:mc="http://schemas.openxmlformats.org/markup-compatibility/2006">
          <mc:Choice Requires="x14">
            <control shapeId="1033" r:id="rId7" name="Option Button 9">
              <controlPr locked="0" defaultSize="0" autoFill="0" autoLine="0" autoPict="0">
                <anchor moveWithCells="1">
                  <from>
                    <xdr:col>9</xdr:col>
                    <xdr:colOff>213360</xdr:colOff>
                    <xdr:row>13</xdr:row>
                    <xdr:rowOff>22860</xdr:rowOff>
                  </from>
                  <to>
                    <xdr:col>10</xdr:col>
                    <xdr:colOff>53340</xdr:colOff>
                    <xdr:row>15</xdr:row>
                    <xdr:rowOff>83820</xdr:rowOff>
                  </to>
                </anchor>
              </controlPr>
            </control>
          </mc:Choice>
        </mc:AlternateContent>
        <mc:AlternateContent xmlns:mc="http://schemas.openxmlformats.org/markup-compatibility/2006">
          <mc:Choice Requires="x14">
            <control shapeId="1034" r:id="rId8" name="Option Button 10">
              <controlPr locked="0" defaultSize="0" autoFill="0" autoLine="0" autoPict="0">
                <anchor moveWithCells="1">
                  <from>
                    <xdr:col>17</xdr:col>
                    <xdr:colOff>228600</xdr:colOff>
                    <xdr:row>13</xdr:row>
                    <xdr:rowOff>22860</xdr:rowOff>
                  </from>
                  <to>
                    <xdr:col>18</xdr:col>
                    <xdr:colOff>68580</xdr:colOff>
                    <xdr:row>15</xdr:row>
                    <xdr:rowOff>83820</xdr:rowOff>
                  </to>
                </anchor>
              </controlPr>
            </control>
          </mc:Choice>
        </mc:AlternateContent>
        <mc:AlternateContent xmlns:mc="http://schemas.openxmlformats.org/markup-compatibility/2006">
          <mc:Choice Requires="x14">
            <control shapeId="1038" r:id="rId9" name="Option Button 14">
              <controlPr locked="0" defaultSize="0" autoFill="0" autoLine="0" autoPict="0">
                <anchor moveWithCells="1">
                  <from>
                    <xdr:col>25</xdr:col>
                    <xdr:colOff>30480</xdr:colOff>
                    <xdr:row>10</xdr:row>
                    <xdr:rowOff>38100</xdr:rowOff>
                  </from>
                  <to>
                    <xdr:col>27</xdr:col>
                    <xdr:colOff>99060</xdr:colOff>
                    <xdr:row>15</xdr:row>
                    <xdr:rowOff>99060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971A-2360-4B04-A12B-1F0C0A918FCF}">
  <sheetPr>
    <tabColor theme="1"/>
    <pageSetUpPr fitToPage="1"/>
  </sheetPr>
  <dimension ref="A1:AK130"/>
  <sheetViews>
    <sheetView showGridLines="0" view="pageBreakPreview" zoomScale="130" zoomScaleNormal="145" zoomScaleSheetLayoutView="130" workbookViewId="0">
      <pane ySplit="1" topLeftCell="A2" activePane="bottomLeft" state="frozen"/>
      <selection pane="bottomLeft" activeCell="B9" sqref="B9:C9"/>
    </sheetView>
  </sheetViews>
  <sheetFormatPr defaultColWidth="0" defaultRowHeight="13.15"/>
  <cols>
    <col min="1" max="25" width="5.85546875" style="19" customWidth="1"/>
    <col min="26" max="26" width="1.85546875" style="10" customWidth="1"/>
    <col min="27" max="27" width="4" style="22" customWidth="1"/>
    <col min="28" max="28" width="1.85546875" style="22" hidden="1" customWidth="1"/>
    <col min="29" max="29" width="16.28515625" style="24" hidden="1" customWidth="1"/>
    <col min="30" max="30" width="5" style="100" hidden="1" customWidth="1"/>
    <col min="31" max="32" width="5" style="2" hidden="1" customWidth="1"/>
    <col min="33" max="37" width="3.7109375" style="2" hidden="1" customWidth="1"/>
    <col min="38" max="16384" width="9.140625" style="2" hidden="1"/>
  </cols>
  <sheetData>
    <row r="1" spans="1:32">
      <c r="A1" s="59"/>
      <c r="B1" s="59"/>
      <c r="C1" s="59"/>
      <c r="D1" s="59"/>
      <c r="E1" s="59"/>
      <c r="F1" s="59"/>
      <c r="G1" s="59"/>
      <c r="H1" s="59"/>
      <c r="I1" s="59"/>
      <c r="J1" s="59"/>
      <c r="K1" s="59"/>
      <c r="L1" s="59"/>
      <c r="M1" s="59"/>
      <c r="N1" s="59"/>
      <c r="O1" s="59"/>
      <c r="P1" s="59"/>
      <c r="Q1" s="59"/>
      <c r="R1" s="59"/>
      <c r="S1" s="59"/>
      <c r="T1" s="59"/>
      <c r="U1" s="59"/>
      <c r="V1" s="59"/>
      <c r="W1" s="59"/>
      <c r="X1" s="59"/>
      <c r="Y1" s="168" t="s">
        <v>98</v>
      </c>
      <c r="AC1" s="142"/>
    </row>
    <row r="2" spans="1:32" ht="6" customHeight="1">
      <c r="Y2" s="40"/>
      <c r="AC2" s="216"/>
    </row>
    <row r="3" spans="1:32" s="19" customFormat="1" ht="13.15" customHeight="1">
      <c r="A3" s="138" t="s">
        <v>34</v>
      </c>
      <c r="B3" s="39"/>
      <c r="C3" s="395"/>
      <c r="D3" s="395"/>
      <c r="E3" s="395"/>
      <c r="F3" s="395"/>
      <c r="G3" s="395"/>
      <c r="H3" s="395"/>
      <c r="I3" s="395"/>
      <c r="J3" s="395"/>
      <c r="K3" s="395"/>
      <c r="M3" s="140" t="s">
        <v>35</v>
      </c>
      <c r="N3" s="232"/>
      <c r="O3" s="232"/>
      <c r="R3" s="140" t="s">
        <v>36</v>
      </c>
      <c r="S3" s="295">
        <v>12</v>
      </c>
      <c r="T3" s="295"/>
      <c r="U3" s="17"/>
      <c r="V3" s="140" t="s">
        <v>37</v>
      </c>
      <c r="W3" s="389"/>
      <c r="X3" s="389"/>
      <c r="Y3" s="389"/>
      <c r="AA3" s="226" t="s">
        <v>38</v>
      </c>
      <c r="AB3" s="22"/>
      <c r="AC3" s="216"/>
      <c r="AD3" s="100"/>
    </row>
    <row r="4" spans="1:32" s="19" customFormat="1" ht="13.9">
      <c r="A4" s="139" t="s">
        <v>39</v>
      </c>
      <c r="B4" s="17"/>
      <c r="C4" s="260"/>
      <c r="D4" s="260"/>
      <c r="E4" s="260"/>
      <c r="F4" s="260"/>
      <c r="G4" s="260"/>
      <c r="H4" s="260"/>
      <c r="I4" s="260"/>
      <c r="J4" s="260"/>
      <c r="K4" s="260"/>
      <c r="L4" s="260"/>
      <c r="M4" s="260"/>
      <c r="N4" s="260"/>
      <c r="O4" s="260"/>
      <c r="R4" s="140" t="s">
        <v>40</v>
      </c>
      <c r="S4" s="232"/>
      <c r="T4" s="232"/>
      <c r="U4" s="232"/>
      <c r="V4" s="140" t="s">
        <v>41</v>
      </c>
      <c r="W4" s="317" t="s">
        <v>42</v>
      </c>
      <c r="X4" s="317"/>
      <c r="Y4" s="317"/>
      <c r="AA4" s="226"/>
      <c r="AB4" s="22"/>
      <c r="AC4" s="142"/>
      <c r="AD4" s="100"/>
    </row>
    <row r="5" spans="1:32" s="13" customFormat="1" ht="4.9000000000000004" customHeight="1">
      <c r="Z5" s="22"/>
      <c r="AA5" s="226"/>
      <c r="AB5" s="22"/>
      <c r="AC5" s="216"/>
      <c r="AD5" s="100"/>
    </row>
    <row r="6" spans="1:32" s="34" customFormat="1" ht="10.15" customHeight="1">
      <c r="A6" s="278" t="s">
        <v>43</v>
      </c>
      <c r="B6" s="279"/>
      <c r="C6" s="280"/>
      <c r="D6" s="278" t="s">
        <v>44</v>
      </c>
      <c r="E6" s="279"/>
      <c r="F6" s="279"/>
      <c r="G6" s="279"/>
      <c r="H6" s="279"/>
      <c r="I6" s="279"/>
      <c r="J6" s="279"/>
      <c r="K6" s="279"/>
      <c r="L6" s="279"/>
      <c r="M6" s="279"/>
      <c r="N6" s="279"/>
      <c r="O6" s="279"/>
      <c r="P6" s="279"/>
      <c r="Q6" s="280"/>
      <c r="R6" s="276" t="s">
        <v>45</v>
      </c>
      <c r="S6" s="276"/>
      <c r="T6" s="301" t="s">
        <v>46</v>
      </c>
      <c r="U6" s="301"/>
      <c r="V6" s="301"/>
      <c r="W6" s="302" t="s">
        <v>47</v>
      </c>
      <c r="X6" s="303"/>
      <c r="Y6" s="304"/>
      <c r="AA6" s="226"/>
      <c r="AB6" s="22"/>
      <c r="AC6" s="216"/>
      <c r="AD6" s="100"/>
    </row>
    <row r="7" spans="1:32" s="34" customFormat="1" ht="10.15" customHeight="1">
      <c r="A7" s="281"/>
      <c r="B7" s="282"/>
      <c r="C7" s="283"/>
      <c r="D7" s="281"/>
      <c r="E7" s="282"/>
      <c r="F7" s="282"/>
      <c r="G7" s="282"/>
      <c r="H7" s="282"/>
      <c r="I7" s="282"/>
      <c r="J7" s="282"/>
      <c r="K7" s="282"/>
      <c r="L7" s="282"/>
      <c r="M7" s="282"/>
      <c r="N7" s="282"/>
      <c r="O7" s="282"/>
      <c r="P7" s="282"/>
      <c r="Q7" s="283"/>
      <c r="R7" s="276"/>
      <c r="S7" s="276"/>
      <c r="T7" s="276" t="s">
        <v>48</v>
      </c>
      <c r="U7" s="276" t="s">
        <v>49</v>
      </c>
      <c r="V7" s="276"/>
      <c r="W7" s="305"/>
      <c r="X7" s="306"/>
      <c r="Y7" s="307"/>
      <c r="AA7" s="226"/>
      <c r="AB7" s="22"/>
      <c r="AC7" s="216"/>
      <c r="AD7" s="100"/>
    </row>
    <row r="8" spans="1:32" s="34" customFormat="1" ht="10.15" customHeight="1">
      <c r="A8" s="277" t="s">
        <v>99</v>
      </c>
      <c r="B8" s="277"/>
      <c r="C8" s="277"/>
      <c r="D8" s="277" t="s">
        <v>51</v>
      </c>
      <c r="E8" s="277"/>
      <c r="F8" s="277"/>
      <c r="G8" s="277"/>
      <c r="H8" s="277"/>
      <c r="I8" s="277"/>
      <c r="J8" s="277"/>
      <c r="K8" s="277"/>
      <c r="L8" s="277"/>
      <c r="M8" s="277"/>
      <c r="N8" s="277"/>
      <c r="O8" s="277"/>
      <c r="P8" s="277"/>
      <c r="Q8" s="277"/>
      <c r="R8" s="220" t="s">
        <v>52</v>
      </c>
      <c r="S8" s="220" t="s">
        <v>53</v>
      </c>
      <c r="T8" s="276"/>
      <c r="U8" s="276"/>
      <c r="V8" s="276"/>
      <c r="W8" s="337" t="s">
        <v>54</v>
      </c>
      <c r="X8" s="338"/>
      <c r="Y8" s="339"/>
      <c r="AA8" s="226"/>
      <c r="AB8" s="22"/>
      <c r="AC8" s="216" t="s">
        <v>100</v>
      </c>
      <c r="AD8" s="190" t="s">
        <v>66</v>
      </c>
      <c r="AE8" s="192" t="s">
        <v>67</v>
      </c>
      <c r="AF8" s="197" t="s">
        <v>68</v>
      </c>
    </row>
    <row r="9" spans="1:32" s="1" customFormat="1" ht="10.15" customHeight="1">
      <c r="A9" s="50">
        <v>1</v>
      </c>
      <c r="B9" s="399"/>
      <c r="C9" s="400"/>
      <c r="D9" s="313"/>
      <c r="E9" s="313"/>
      <c r="F9" s="313"/>
      <c r="G9" s="313"/>
      <c r="H9" s="313"/>
      <c r="I9" s="313"/>
      <c r="J9" s="313"/>
      <c r="K9" s="313"/>
      <c r="L9" s="313"/>
      <c r="M9" s="313"/>
      <c r="N9" s="313"/>
      <c r="O9" s="313"/>
      <c r="P9" s="313"/>
      <c r="Q9" s="313"/>
      <c r="R9" s="199"/>
      <c r="S9" s="199"/>
      <c r="T9" s="224" t="str">
        <f>IF(AF9=2,IF(COUNTA(R9:S9)=2,ROUND(AVERAGE(R9:S9),0),""),"")</f>
        <v/>
      </c>
      <c r="U9" s="354" t="str">
        <f t="shared" ref="U9:U15" si="0">IF(T9&lt;&gt;"",IF(T9&lt;75,"FAILED","PASSED"),"")</f>
        <v/>
      </c>
      <c r="V9" s="355"/>
      <c r="W9" s="318" t="str">
        <f>_xlfn.IFNA(_xlfn.XLOOKUP(AF9,HELPER_SUBJECTS!$I$13:$I$14,HELPER_SUBJECTS!$J$13:$J$14),"")</f>
        <v/>
      </c>
      <c r="X9" s="319"/>
      <c r="Y9" s="320"/>
      <c r="AA9" s="226"/>
      <c r="AB9" s="22"/>
      <c r="AC9" s="216" t="str">
        <f>IF(B9="ACADEMIC",HELPER_SUBJECTS!$U$4,IF(B9="TECHPRO",HELPER_SUBJECTS!$V$4,""))</f>
        <v/>
      </c>
      <c r="AD9" s="191">
        <f>_xlfn.IFNA(_xlfn.XLOOKUP(D9,HELPER_SUBJECTS!D:D,HELPER_SUBJECTS!F:F),0)</f>
        <v>0</v>
      </c>
      <c r="AE9" s="191">
        <f>_xlfn.IFNA(IF(D9&lt;&gt;"",_xlfn.XLOOKUP(D9,ANNEX!$F$52:$F$61,ANNEX!$H$52:$H$61),0),0)</f>
        <v>0</v>
      </c>
      <c r="AF9" s="196">
        <f t="shared" ref="AF9:AF18" si="1">IF(AND(AD9&gt;0,AE9=0),AD9,IF(AND(AE9&gt;0,AD9=0),AE9,0))</f>
        <v>0</v>
      </c>
    </row>
    <row r="10" spans="1:32" s="1" customFormat="1" ht="10.15" customHeight="1">
      <c r="A10" s="46">
        <v>2</v>
      </c>
      <c r="B10" s="385"/>
      <c r="C10" s="386"/>
      <c r="D10" s="288"/>
      <c r="E10" s="288"/>
      <c r="F10" s="288"/>
      <c r="G10" s="288"/>
      <c r="H10" s="288"/>
      <c r="I10" s="288"/>
      <c r="J10" s="288"/>
      <c r="K10" s="288"/>
      <c r="L10" s="288"/>
      <c r="M10" s="288"/>
      <c r="N10" s="288"/>
      <c r="O10" s="288"/>
      <c r="P10" s="288"/>
      <c r="Q10" s="288"/>
      <c r="R10" s="80"/>
      <c r="S10" s="80"/>
      <c r="T10" s="213" t="str">
        <f>IF(AF10=2,IF(COUNTA(R10:S10)=2,ROUND(AVERAGE(R10:S10),0),""),"")</f>
        <v/>
      </c>
      <c r="U10" s="236" t="str">
        <f t="shared" si="0"/>
        <v/>
      </c>
      <c r="V10" s="236"/>
      <c r="W10" s="233" t="str">
        <f>_xlfn.IFNA(_xlfn.XLOOKUP(AF10,HELPER_SUBJECTS!$I$13:$I$14,HELPER_SUBJECTS!$J$13:$J$14),"")</f>
        <v/>
      </c>
      <c r="X10" s="234"/>
      <c r="Y10" s="235"/>
      <c r="AA10" s="226"/>
      <c r="AB10" s="22"/>
      <c r="AC10" s="216" t="str">
        <f>IF(B10="ACADEMIC",HELPER_SUBJECTS!$U$4,IF(B10="TECHPRO",HELPER_SUBJECTS!$V$4,""))</f>
        <v/>
      </c>
      <c r="AD10" s="191">
        <f>_xlfn.IFNA(_xlfn.XLOOKUP(D10,HELPER_SUBJECTS!D:D,HELPER_SUBJECTS!F:F),0)</f>
        <v>0</v>
      </c>
      <c r="AE10" s="191">
        <f>_xlfn.IFNA(IF(D10&lt;&gt;"",_xlfn.XLOOKUP(D10,ANNEX!$F$52:$F$61,ANNEX!$H$52:$H$61),0),0)</f>
        <v>0</v>
      </c>
      <c r="AF10" s="196">
        <f t="shared" si="1"/>
        <v>0</v>
      </c>
    </row>
    <row r="11" spans="1:32" s="1" customFormat="1" ht="10.15" customHeight="1">
      <c r="A11" s="46">
        <v>3</v>
      </c>
      <c r="B11" s="385"/>
      <c r="C11" s="386"/>
      <c r="D11" s="288"/>
      <c r="E11" s="288"/>
      <c r="F11" s="288"/>
      <c r="G11" s="288"/>
      <c r="H11" s="288"/>
      <c r="I11" s="288"/>
      <c r="J11" s="288"/>
      <c r="K11" s="288"/>
      <c r="L11" s="288"/>
      <c r="M11" s="288"/>
      <c r="N11" s="288"/>
      <c r="O11" s="288"/>
      <c r="P11" s="288"/>
      <c r="Q11" s="288"/>
      <c r="R11" s="80"/>
      <c r="S11" s="80"/>
      <c r="T11" s="213" t="str">
        <f t="shared" ref="T11:T14" si="2">IF(AF11=2,IF(COUNTA(R11:S11)=2,ROUND(AVERAGE(R11:S11),0),""),"")</f>
        <v/>
      </c>
      <c r="U11" s="236" t="str">
        <f t="shared" ref="U11:U14" si="3">IF(T11&lt;&gt;"",IF(T11&lt;75,"FAILED","PASSED"),"")</f>
        <v/>
      </c>
      <c r="V11" s="236"/>
      <c r="W11" s="233" t="str">
        <f>_xlfn.IFNA(_xlfn.XLOOKUP(AF11,HELPER_SUBJECTS!$I$13:$I$14,HELPER_SUBJECTS!$J$13:$J$14),"")</f>
        <v/>
      </c>
      <c r="X11" s="234"/>
      <c r="Y11" s="235"/>
      <c r="AA11" s="226"/>
      <c r="AB11" s="22"/>
      <c r="AC11" s="216" t="str">
        <f>IF(B11="ACADEMIC",HELPER_SUBJECTS!$U$4,IF(B11="TECHPRO",HELPER_SUBJECTS!$V$4,""))</f>
        <v/>
      </c>
      <c r="AD11" s="191">
        <f>_xlfn.IFNA(_xlfn.XLOOKUP(D11,HELPER_SUBJECTS!D:D,HELPER_SUBJECTS!F:F),0)</f>
        <v>0</v>
      </c>
      <c r="AE11" s="191">
        <f>_xlfn.IFNA(IF(D11&lt;&gt;"",_xlfn.XLOOKUP(D11,ANNEX!$F$52:$F$61,ANNEX!$H$52:$H$61),0),0)</f>
        <v>0</v>
      </c>
      <c r="AF11" s="196">
        <f t="shared" ref="AF11:AF14" si="4">IF(AND(AD11&gt;0,AE11=0),AD11,IF(AND(AE11&gt;0,AD11=0),AE11,0))</f>
        <v>0</v>
      </c>
    </row>
    <row r="12" spans="1:32" s="1" customFormat="1" ht="10.15" customHeight="1">
      <c r="A12" s="46">
        <v>4</v>
      </c>
      <c r="B12" s="385"/>
      <c r="C12" s="386"/>
      <c r="D12" s="288"/>
      <c r="E12" s="288"/>
      <c r="F12" s="288"/>
      <c r="G12" s="288"/>
      <c r="H12" s="288"/>
      <c r="I12" s="288"/>
      <c r="J12" s="288"/>
      <c r="K12" s="288"/>
      <c r="L12" s="288"/>
      <c r="M12" s="288"/>
      <c r="N12" s="288"/>
      <c r="O12" s="288"/>
      <c r="P12" s="288"/>
      <c r="Q12" s="288"/>
      <c r="R12" s="80"/>
      <c r="S12" s="80"/>
      <c r="T12" s="213" t="str">
        <f t="shared" si="2"/>
        <v/>
      </c>
      <c r="U12" s="236" t="str">
        <f t="shared" si="3"/>
        <v/>
      </c>
      <c r="V12" s="236"/>
      <c r="W12" s="233" t="str">
        <f>_xlfn.IFNA(_xlfn.XLOOKUP(AF12,HELPER_SUBJECTS!$I$13:$I$14,HELPER_SUBJECTS!$J$13:$J$14),"")</f>
        <v/>
      </c>
      <c r="X12" s="234"/>
      <c r="Y12" s="235"/>
      <c r="AA12" s="226"/>
      <c r="AB12" s="22"/>
      <c r="AC12" s="216" t="str">
        <f>IF(B12="ACADEMIC",HELPER_SUBJECTS!$U$4,IF(B12="TECHPRO",HELPER_SUBJECTS!$V$4,""))</f>
        <v/>
      </c>
      <c r="AD12" s="191">
        <f>_xlfn.IFNA(_xlfn.XLOOKUP(D12,HELPER_SUBJECTS!D:D,HELPER_SUBJECTS!F:F),0)</f>
        <v>0</v>
      </c>
      <c r="AE12" s="191">
        <f>_xlfn.IFNA(IF(D12&lt;&gt;"",_xlfn.XLOOKUP(D12,ANNEX!$F$52:$F$61,ANNEX!$H$52:$H$61),0),0)</f>
        <v>0</v>
      </c>
      <c r="AF12" s="196">
        <f t="shared" si="4"/>
        <v>0</v>
      </c>
    </row>
    <row r="13" spans="1:32" s="1" customFormat="1" ht="10.15" customHeight="1">
      <c r="A13" s="46">
        <v>5</v>
      </c>
      <c r="B13" s="385"/>
      <c r="C13" s="386"/>
      <c r="D13" s="288"/>
      <c r="E13" s="288"/>
      <c r="F13" s="288"/>
      <c r="G13" s="288"/>
      <c r="H13" s="288"/>
      <c r="I13" s="288"/>
      <c r="J13" s="288"/>
      <c r="K13" s="288"/>
      <c r="L13" s="288"/>
      <c r="M13" s="288"/>
      <c r="N13" s="288"/>
      <c r="O13" s="288"/>
      <c r="P13" s="288"/>
      <c r="Q13" s="288"/>
      <c r="R13" s="80"/>
      <c r="S13" s="80"/>
      <c r="T13" s="213" t="str">
        <f t="shared" si="2"/>
        <v/>
      </c>
      <c r="U13" s="236" t="str">
        <f t="shared" si="3"/>
        <v/>
      </c>
      <c r="V13" s="236"/>
      <c r="W13" s="233" t="str">
        <f>_xlfn.IFNA(_xlfn.XLOOKUP(AF13,HELPER_SUBJECTS!$I$13:$I$14,HELPER_SUBJECTS!$J$13:$J$14),"")</f>
        <v/>
      </c>
      <c r="X13" s="234"/>
      <c r="Y13" s="235"/>
      <c r="AA13" s="226"/>
      <c r="AB13" s="22"/>
      <c r="AC13" s="216" t="str">
        <f>IF(B13="ACADEMIC",HELPER_SUBJECTS!$U$4,IF(B13="TECHPRO",HELPER_SUBJECTS!$V$4,""))</f>
        <v/>
      </c>
      <c r="AD13" s="191">
        <f>_xlfn.IFNA(_xlfn.XLOOKUP(D13,HELPER_SUBJECTS!D:D,HELPER_SUBJECTS!F:F),0)</f>
        <v>0</v>
      </c>
      <c r="AE13" s="191">
        <f>_xlfn.IFNA(IF(D13&lt;&gt;"",_xlfn.XLOOKUP(D13,ANNEX!$F$52:$F$61,ANNEX!$H$52:$H$61),0),0)</f>
        <v>0</v>
      </c>
      <c r="AF13" s="196">
        <f t="shared" si="4"/>
        <v>0</v>
      </c>
    </row>
    <row r="14" spans="1:32" s="1" customFormat="1" ht="10.15" customHeight="1">
      <c r="A14" s="46">
        <v>6</v>
      </c>
      <c r="B14" s="385"/>
      <c r="C14" s="386"/>
      <c r="D14" s="288"/>
      <c r="E14" s="288"/>
      <c r="F14" s="288"/>
      <c r="G14" s="288"/>
      <c r="H14" s="288"/>
      <c r="I14" s="288"/>
      <c r="J14" s="288"/>
      <c r="K14" s="288"/>
      <c r="L14" s="288"/>
      <c r="M14" s="288"/>
      <c r="N14" s="288"/>
      <c r="O14" s="288"/>
      <c r="P14" s="288"/>
      <c r="Q14" s="288"/>
      <c r="R14" s="80"/>
      <c r="S14" s="80"/>
      <c r="T14" s="213" t="str">
        <f t="shared" si="2"/>
        <v/>
      </c>
      <c r="U14" s="236" t="str">
        <f t="shared" si="3"/>
        <v/>
      </c>
      <c r="V14" s="236"/>
      <c r="W14" s="233" t="str">
        <f>_xlfn.IFNA(_xlfn.XLOOKUP(AF14,HELPER_SUBJECTS!$I$13:$I$14,HELPER_SUBJECTS!$J$13:$J$14),"")</f>
        <v/>
      </c>
      <c r="X14" s="234"/>
      <c r="Y14" s="235"/>
      <c r="AA14" s="226"/>
      <c r="AB14" s="22"/>
      <c r="AC14" s="216" t="str">
        <f>IF(B14="ACADEMIC",HELPER_SUBJECTS!$U$4,IF(B14="TECHPRO",HELPER_SUBJECTS!$V$4,""))</f>
        <v/>
      </c>
      <c r="AD14" s="191">
        <f>_xlfn.IFNA(_xlfn.XLOOKUP(D14,HELPER_SUBJECTS!D:D,HELPER_SUBJECTS!F:F),0)</f>
        <v>0</v>
      </c>
      <c r="AE14" s="191">
        <f>_xlfn.IFNA(IF(D14&lt;&gt;"",_xlfn.XLOOKUP(D14,ANNEX!$F$52:$F$61,ANNEX!$H$52:$H$61),0),0)</f>
        <v>0</v>
      </c>
      <c r="AF14" s="196">
        <f t="shared" si="4"/>
        <v>0</v>
      </c>
    </row>
    <row r="15" spans="1:32" s="1" customFormat="1" ht="10.15" customHeight="1">
      <c r="A15" s="46">
        <v>7</v>
      </c>
      <c r="B15" s="385"/>
      <c r="C15" s="386"/>
      <c r="D15" s="288"/>
      <c r="E15" s="288"/>
      <c r="F15" s="288"/>
      <c r="G15" s="288"/>
      <c r="H15" s="288"/>
      <c r="I15" s="288"/>
      <c r="J15" s="288"/>
      <c r="K15" s="288"/>
      <c r="L15" s="288"/>
      <c r="M15" s="288"/>
      <c r="N15" s="288"/>
      <c r="O15" s="288"/>
      <c r="P15" s="288"/>
      <c r="Q15" s="288"/>
      <c r="R15" s="80"/>
      <c r="S15" s="80"/>
      <c r="T15" s="213" t="str">
        <f t="shared" ref="T15:T18" si="5">IF(AF15=2,IF(COUNTA(R15:S15)=2,ROUND(AVERAGE(R15:S15),0),""),"")</f>
        <v/>
      </c>
      <c r="U15" s="236" t="str">
        <f t="shared" si="0"/>
        <v/>
      </c>
      <c r="V15" s="236"/>
      <c r="W15" s="233" t="str">
        <f>_xlfn.IFNA(_xlfn.XLOOKUP(AF15,HELPER_SUBJECTS!$I$13:$I$14,HELPER_SUBJECTS!$J$13:$J$14),"")</f>
        <v/>
      </c>
      <c r="X15" s="234"/>
      <c r="Y15" s="235"/>
      <c r="AA15" s="226"/>
      <c r="AB15" s="22"/>
      <c r="AC15" s="216" t="str">
        <f>IF(B15="ACADEMIC",HELPER_SUBJECTS!$U$4,IF(B15="TECHPRO",HELPER_SUBJECTS!$V$4,""))</f>
        <v/>
      </c>
      <c r="AD15" s="191">
        <f>_xlfn.IFNA(_xlfn.XLOOKUP(D15,HELPER_SUBJECTS!D:D,HELPER_SUBJECTS!F:F),0)</f>
        <v>0</v>
      </c>
      <c r="AE15" s="191">
        <f>_xlfn.IFNA(IF(D15&lt;&gt;"",_xlfn.XLOOKUP(D15,ANNEX!$F$52:$F$61,ANNEX!$H$52:$H$61),0),0)</f>
        <v>0</v>
      </c>
      <c r="AF15" s="196">
        <f t="shared" si="1"/>
        <v>0</v>
      </c>
    </row>
    <row r="16" spans="1:32" s="1" customFormat="1" ht="10.15" customHeight="1">
      <c r="A16" s="46">
        <v>8</v>
      </c>
      <c r="B16" s="385"/>
      <c r="C16" s="386"/>
      <c r="D16" s="288"/>
      <c r="E16" s="288"/>
      <c r="F16" s="288"/>
      <c r="G16" s="288"/>
      <c r="H16" s="288"/>
      <c r="I16" s="288"/>
      <c r="J16" s="288"/>
      <c r="K16" s="288"/>
      <c r="L16" s="288"/>
      <c r="M16" s="288"/>
      <c r="N16" s="288"/>
      <c r="O16" s="288"/>
      <c r="P16" s="288"/>
      <c r="Q16" s="288"/>
      <c r="R16" s="80"/>
      <c r="S16" s="80"/>
      <c r="T16" s="213" t="str">
        <f t="shared" si="5"/>
        <v/>
      </c>
      <c r="U16" s="387" t="str">
        <f t="shared" ref="U16:U18" si="6">IF(T16&lt;&gt;"",IF(T16&lt;75,"FAILED","PASSED"),"")</f>
        <v/>
      </c>
      <c r="V16" s="388"/>
      <c r="W16" s="233" t="str">
        <f>_xlfn.IFNA(_xlfn.XLOOKUP(AF16,HELPER_SUBJECTS!$I$13:$I$14,HELPER_SUBJECTS!$J$13:$J$14),"")</f>
        <v/>
      </c>
      <c r="X16" s="234"/>
      <c r="Y16" s="235"/>
      <c r="AA16" s="226"/>
      <c r="AB16" s="34"/>
      <c r="AC16" s="216" t="str">
        <f>IF(B16="ACADEMIC",HELPER_SUBJECTS!$U$4,IF(B16="TECHPRO",HELPER_SUBJECTS!$V$4,""))</f>
        <v/>
      </c>
      <c r="AD16" s="191">
        <f>_xlfn.IFNA(_xlfn.XLOOKUP(D16,HELPER_SUBJECTS!D:D,HELPER_SUBJECTS!F:F),0)</f>
        <v>0</v>
      </c>
      <c r="AE16" s="191">
        <f>_xlfn.IFNA(IF(D16&lt;&gt;"",_xlfn.XLOOKUP(D16,ANNEX!$F$52:$F$61,ANNEX!$H$52:$H$61),0),0)</f>
        <v>0</v>
      </c>
      <c r="AF16" s="196">
        <f t="shared" si="1"/>
        <v>0</v>
      </c>
    </row>
    <row r="17" spans="1:32" s="1" customFormat="1" ht="10.15" customHeight="1">
      <c r="A17" s="46">
        <v>9</v>
      </c>
      <c r="B17" s="385"/>
      <c r="C17" s="386"/>
      <c r="D17" s="288"/>
      <c r="E17" s="288"/>
      <c r="F17" s="288"/>
      <c r="G17" s="288"/>
      <c r="H17" s="288"/>
      <c r="I17" s="288"/>
      <c r="J17" s="288"/>
      <c r="K17" s="288"/>
      <c r="L17" s="288"/>
      <c r="M17" s="288"/>
      <c r="N17" s="288"/>
      <c r="O17" s="288"/>
      <c r="P17" s="288"/>
      <c r="Q17" s="288"/>
      <c r="R17" s="80"/>
      <c r="S17" s="80"/>
      <c r="T17" s="213" t="str">
        <f t="shared" si="5"/>
        <v/>
      </c>
      <c r="U17" s="387" t="str">
        <f t="shared" si="6"/>
        <v/>
      </c>
      <c r="V17" s="388"/>
      <c r="W17" s="233" t="str">
        <f>_xlfn.IFNA(_xlfn.XLOOKUP(AF17,HELPER_SUBJECTS!$I$13:$I$14,HELPER_SUBJECTS!$J$13:$J$14),"")</f>
        <v/>
      </c>
      <c r="X17" s="234"/>
      <c r="Y17" s="235"/>
      <c r="AA17" s="226"/>
      <c r="AB17" s="34"/>
      <c r="AC17" s="216" t="str">
        <f>IF(B17="ACADEMIC",HELPER_SUBJECTS!$U$4,IF(B17="TECHPRO",HELPER_SUBJECTS!$V$4,""))</f>
        <v/>
      </c>
      <c r="AD17" s="191">
        <f>_xlfn.IFNA(_xlfn.XLOOKUP(D17,HELPER_SUBJECTS!D:D,HELPER_SUBJECTS!F:F),0)</f>
        <v>0</v>
      </c>
      <c r="AE17" s="191">
        <f>_xlfn.IFNA(IF(D17&lt;&gt;"",_xlfn.XLOOKUP(D17,ANNEX!$F$52:$F$61,ANNEX!$H$52:$H$61),0),0)</f>
        <v>0</v>
      </c>
      <c r="AF17" s="196">
        <f t="shared" si="1"/>
        <v>0</v>
      </c>
    </row>
    <row r="18" spans="1:32" s="1" customFormat="1" ht="10.15" customHeight="1">
      <c r="A18" s="49">
        <v>10</v>
      </c>
      <c r="B18" s="390"/>
      <c r="C18" s="391"/>
      <c r="D18" s="310"/>
      <c r="E18" s="310"/>
      <c r="F18" s="310"/>
      <c r="G18" s="310"/>
      <c r="H18" s="310"/>
      <c r="I18" s="310"/>
      <c r="J18" s="310"/>
      <c r="K18" s="310"/>
      <c r="L18" s="310"/>
      <c r="M18" s="310"/>
      <c r="N18" s="310"/>
      <c r="O18" s="310"/>
      <c r="P18" s="310"/>
      <c r="Q18" s="310"/>
      <c r="R18" s="78"/>
      <c r="S18" s="78"/>
      <c r="T18" s="215" t="str">
        <f t="shared" si="5"/>
        <v/>
      </c>
      <c r="U18" s="401" t="str">
        <f t="shared" si="6"/>
        <v/>
      </c>
      <c r="V18" s="402"/>
      <c r="W18" s="350" t="str">
        <f>_xlfn.IFNA(_xlfn.XLOOKUP(AF18,HELPER_SUBJECTS!$I$13:$I$14,HELPER_SUBJECTS!$J$13:$J$14),"")</f>
        <v/>
      </c>
      <c r="X18" s="351"/>
      <c r="Y18" s="352"/>
      <c r="AA18" s="226"/>
      <c r="AB18" s="22"/>
      <c r="AC18" s="216" t="str">
        <f>IF(B18="ACADEMIC",HELPER_SUBJECTS!$U$4,IF(B18="TECHPRO",HELPER_SUBJECTS!$V$4,""))</f>
        <v/>
      </c>
      <c r="AD18" s="191">
        <f>_xlfn.IFNA(_xlfn.XLOOKUP(D18,HELPER_SUBJECTS!D:D,HELPER_SUBJECTS!F:F),0)</f>
        <v>0</v>
      </c>
      <c r="AE18" s="191">
        <f>_xlfn.IFNA(IF(D18&lt;&gt;"",_xlfn.XLOOKUP(D18,ANNEX!$F$52:$F$61,ANNEX!$H$52:$H$61),0),0)</f>
        <v>0</v>
      </c>
      <c r="AF18" s="196">
        <f t="shared" si="1"/>
        <v>0</v>
      </c>
    </row>
    <row r="19" spans="1:32" s="13" customFormat="1" ht="4.9000000000000004" customHeight="1">
      <c r="Z19" s="22"/>
      <c r="AA19" s="226"/>
      <c r="AB19" s="34"/>
      <c r="AC19" s="216" t="str">
        <f>IF(B19="ACADEMIC",HELPER_SUBJECTS!$U$4,IF(B19="TECHPRO",HELPER_SUBJECTS!$V$4,""))</f>
        <v/>
      </c>
      <c r="AD19" s="191"/>
      <c r="AE19" s="191"/>
      <c r="AF19" s="196"/>
    </row>
    <row r="20" spans="1:32" s="34" customFormat="1" ht="10.15" customHeight="1">
      <c r="A20" s="139" t="s">
        <v>69</v>
      </c>
      <c r="B20" s="19"/>
      <c r="C20" s="392"/>
      <c r="D20" s="392"/>
      <c r="E20" s="392"/>
      <c r="F20" s="392"/>
      <c r="G20" s="392"/>
      <c r="H20" s="392"/>
      <c r="I20" s="392"/>
      <c r="J20" s="392"/>
      <c r="K20" s="392"/>
      <c r="L20" s="392"/>
      <c r="M20" s="392"/>
      <c r="N20" s="392"/>
      <c r="O20" s="392"/>
      <c r="P20" s="392"/>
      <c r="Q20" s="392"/>
      <c r="R20" s="392"/>
      <c r="S20" s="392"/>
      <c r="T20" s="392"/>
      <c r="U20" s="392"/>
      <c r="V20" s="392"/>
      <c r="W20" s="392"/>
      <c r="X20" s="392"/>
      <c r="Y20" s="392"/>
      <c r="AA20" s="226"/>
      <c r="AC20" s="216"/>
      <c r="AD20" s="100"/>
    </row>
    <row r="21" spans="1:32" s="34" customFormat="1" ht="4.9000000000000004"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AA21" s="226"/>
      <c r="AB21" s="22"/>
      <c r="AC21" s="216"/>
      <c r="AD21" s="100"/>
    </row>
    <row r="22" spans="1:32" s="34" customFormat="1" ht="13.9">
      <c r="A22" s="139" t="s">
        <v>70</v>
      </c>
      <c r="B22" s="19"/>
      <c r="C22" s="19"/>
      <c r="D22" s="19"/>
      <c r="E22" s="19"/>
      <c r="F22" s="19"/>
      <c r="G22" s="19"/>
      <c r="H22" s="19"/>
      <c r="I22" s="19"/>
      <c r="J22" s="19"/>
      <c r="K22" s="19"/>
      <c r="L22" s="143" t="s">
        <v>71</v>
      </c>
      <c r="M22" s="17"/>
      <c r="N22" s="17"/>
      <c r="O22" s="19"/>
      <c r="P22" s="19"/>
      <c r="Q22" s="19"/>
      <c r="R22" s="19"/>
      <c r="S22" s="19"/>
      <c r="T22" s="19"/>
      <c r="U22" s="19"/>
      <c r="V22" s="19"/>
      <c r="W22" s="144" t="s">
        <v>72</v>
      </c>
      <c r="X22" s="21"/>
      <c r="Y22" s="21"/>
      <c r="AA22" s="226"/>
      <c r="AB22" s="22"/>
      <c r="AC22" s="216"/>
      <c r="AD22" s="100"/>
    </row>
    <row r="23" spans="1:32" s="34" customFormat="1">
      <c r="A23" s="393"/>
      <c r="B23" s="393"/>
      <c r="C23" s="393"/>
      <c r="D23" s="393"/>
      <c r="E23" s="393"/>
      <c r="F23" s="393"/>
      <c r="G23" s="393"/>
      <c r="H23" s="393"/>
      <c r="I23" s="393"/>
      <c r="J23" s="393"/>
      <c r="K23" s="19"/>
      <c r="L23" s="393"/>
      <c r="M23" s="393"/>
      <c r="N23" s="393"/>
      <c r="O23" s="393"/>
      <c r="P23" s="393"/>
      <c r="Q23" s="393"/>
      <c r="R23" s="393"/>
      <c r="S23" s="393"/>
      <c r="T23" s="393"/>
      <c r="U23" s="393"/>
      <c r="V23" s="19"/>
      <c r="W23" s="394"/>
      <c r="X23" s="394"/>
      <c r="Y23" s="394"/>
      <c r="AA23" s="226"/>
      <c r="AB23" s="22"/>
      <c r="AC23" s="216"/>
      <c r="AD23" s="100"/>
    </row>
    <row r="24" spans="1:32" s="158" customFormat="1" ht="10.9" thickBot="1">
      <c r="A24" s="155" t="s">
        <v>73</v>
      </c>
      <c r="B24" s="47"/>
      <c r="C24" s="47"/>
      <c r="D24" s="47"/>
      <c r="E24" s="47"/>
      <c r="F24" s="47"/>
      <c r="G24" s="47"/>
      <c r="H24" s="47"/>
      <c r="I24" s="47"/>
      <c r="J24" s="47"/>
      <c r="K24" s="48"/>
      <c r="L24" s="155" t="s">
        <v>74</v>
      </c>
      <c r="M24" s="156"/>
      <c r="N24" s="156"/>
      <c r="O24" s="47"/>
      <c r="P24" s="47"/>
      <c r="Q24" s="47"/>
      <c r="R24" s="47"/>
      <c r="S24" s="47"/>
      <c r="T24" s="47"/>
      <c r="U24" s="47"/>
      <c r="V24" s="48"/>
      <c r="W24" s="299" t="s">
        <v>14</v>
      </c>
      <c r="X24" s="299"/>
      <c r="Y24" s="299"/>
      <c r="Z24" s="2"/>
      <c r="AA24" s="226"/>
      <c r="AB24" s="22"/>
      <c r="AC24" s="216"/>
      <c r="AD24" s="100"/>
    </row>
    <row r="25" spans="1:32" s="38" customFormat="1" ht="4.9000000000000004" customHeight="1">
      <c r="A25" s="37"/>
      <c r="B25" s="36"/>
      <c r="C25" s="37"/>
      <c r="D25" s="37"/>
      <c r="E25" s="37"/>
      <c r="F25" s="37"/>
      <c r="G25" s="37"/>
      <c r="H25" s="37"/>
      <c r="I25" s="37"/>
      <c r="J25" s="37"/>
      <c r="K25" s="37"/>
      <c r="L25" s="37"/>
      <c r="M25" s="37"/>
      <c r="N25" s="37"/>
      <c r="O25" s="37"/>
      <c r="P25" s="37"/>
      <c r="Q25" s="37"/>
      <c r="R25" s="37"/>
      <c r="S25" s="37"/>
      <c r="T25" s="37"/>
      <c r="U25" s="37"/>
      <c r="V25" s="37"/>
      <c r="W25" s="37"/>
      <c r="X25" s="37"/>
      <c r="Y25" s="37"/>
      <c r="Z25" s="22"/>
      <c r="AA25" s="226"/>
      <c r="AB25" s="22"/>
      <c r="AC25" s="216"/>
      <c r="AD25" s="100"/>
    </row>
    <row r="26" spans="1:32" s="19" customFormat="1">
      <c r="A26" s="102" t="s">
        <v>75</v>
      </c>
      <c r="B26" s="18"/>
      <c r="C26" s="17"/>
      <c r="D26" s="17"/>
      <c r="E26" s="17"/>
      <c r="F26" s="17"/>
      <c r="G26" s="146" t="s">
        <v>76</v>
      </c>
      <c r="H26" s="232"/>
      <c r="I26" s="232"/>
      <c r="J26" s="232"/>
      <c r="K26" s="145" t="s">
        <v>77</v>
      </c>
      <c r="L26" s="232"/>
      <c r="M26" s="232"/>
      <c r="N26" s="232"/>
      <c r="O26" s="17"/>
      <c r="P26" s="146" t="s">
        <v>78</v>
      </c>
      <c r="Q26" s="389"/>
      <c r="R26" s="389"/>
      <c r="S26" s="389"/>
      <c r="T26" s="389"/>
      <c r="U26" s="389"/>
      <c r="V26" s="32"/>
      <c r="W26" s="146" t="s">
        <v>79</v>
      </c>
      <c r="X26" s="389"/>
      <c r="Y26" s="389"/>
      <c r="AA26" s="226"/>
      <c r="AC26" s="216"/>
      <c r="AD26" s="100"/>
    </row>
    <row r="27" spans="1:32" s="34" customFormat="1">
      <c r="B27" s="35"/>
      <c r="E27" s="159"/>
      <c r="F27" s="38"/>
      <c r="G27" s="38"/>
      <c r="H27" s="360" t="s">
        <v>14</v>
      </c>
      <c r="I27" s="360"/>
      <c r="J27" s="360"/>
      <c r="K27" s="38"/>
      <c r="L27" s="360" t="s">
        <v>14</v>
      </c>
      <c r="M27" s="360"/>
      <c r="N27" s="360"/>
      <c r="O27" s="38"/>
      <c r="AA27" s="226"/>
      <c r="AB27" s="19"/>
      <c r="AC27" s="216"/>
      <c r="AD27" s="100"/>
    </row>
    <row r="28" spans="1:32" s="34" customFormat="1" ht="10.15" customHeight="1">
      <c r="A28" s="296" t="s">
        <v>43</v>
      </c>
      <c r="B28" s="296"/>
      <c r="C28" s="296"/>
      <c r="D28" s="296" t="s">
        <v>44</v>
      </c>
      <c r="E28" s="296"/>
      <c r="F28" s="296"/>
      <c r="G28" s="296"/>
      <c r="H28" s="296"/>
      <c r="I28" s="296"/>
      <c r="J28" s="296"/>
      <c r="K28" s="296"/>
      <c r="L28" s="296"/>
      <c r="M28" s="296"/>
      <c r="N28" s="296"/>
      <c r="O28" s="296"/>
      <c r="P28" s="296"/>
      <c r="Q28" s="296"/>
      <c r="R28" s="365" t="s">
        <v>80</v>
      </c>
      <c r="S28" s="367" t="s">
        <v>81</v>
      </c>
      <c r="T28" s="369" t="s">
        <v>82</v>
      </c>
      <c r="U28" s="359" t="s">
        <v>49</v>
      </c>
      <c r="V28" s="359"/>
      <c r="W28" s="311" t="s">
        <v>47</v>
      </c>
      <c r="X28" s="311"/>
      <c r="Y28" s="311"/>
      <c r="AA28" s="226"/>
      <c r="AB28" s="22"/>
      <c r="AC28" s="216"/>
      <c r="AD28" s="100"/>
    </row>
    <row r="29" spans="1:32" s="34" customFormat="1" ht="12" customHeight="1">
      <c r="A29" s="297" t="s">
        <v>99</v>
      </c>
      <c r="B29" s="297"/>
      <c r="C29" s="297"/>
      <c r="D29" s="297" t="s">
        <v>51</v>
      </c>
      <c r="E29" s="297"/>
      <c r="F29" s="297"/>
      <c r="G29" s="297"/>
      <c r="H29" s="297"/>
      <c r="I29" s="297"/>
      <c r="J29" s="297"/>
      <c r="K29" s="297"/>
      <c r="L29" s="297"/>
      <c r="M29" s="297"/>
      <c r="N29" s="297"/>
      <c r="O29" s="297"/>
      <c r="P29" s="297"/>
      <c r="Q29" s="297"/>
      <c r="R29" s="366"/>
      <c r="S29" s="368"/>
      <c r="T29" s="370"/>
      <c r="U29" s="359"/>
      <c r="V29" s="359"/>
      <c r="W29" s="311"/>
      <c r="X29" s="311"/>
      <c r="Y29" s="311"/>
      <c r="AA29" s="226"/>
      <c r="AC29" s="216" t="s">
        <v>100</v>
      </c>
      <c r="AD29" s="100"/>
    </row>
    <row r="30" spans="1:32" s="34" customFormat="1" ht="10.15" customHeight="1">
      <c r="A30" s="45">
        <v>1</v>
      </c>
      <c r="B30" s="345"/>
      <c r="C30" s="345"/>
      <c r="D30" s="353"/>
      <c r="E30" s="353"/>
      <c r="F30" s="353"/>
      <c r="G30" s="353"/>
      <c r="H30" s="353"/>
      <c r="I30" s="353"/>
      <c r="J30" s="353"/>
      <c r="K30" s="353"/>
      <c r="L30" s="353"/>
      <c r="M30" s="353"/>
      <c r="N30" s="353"/>
      <c r="O30" s="353"/>
      <c r="P30" s="353"/>
      <c r="Q30" s="353"/>
      <c r="R30" s="84"/>
      <c r="S30" s="84"/>
      <c r="T30" s="53" t="str">
        <f>IF(OR(R30="",S30=""),"",IF(ISERROR(ROUND(AVERAGE(R30,S30),0)),"",ROUND(AVERAGE(R30,S30),0)))</f>
        <v/>
      </c>
      <c r="U30" s="396" t="str">
        <f>IF(T30&lt;&gt;"",IF(T30&lt;75,"FAILED","PASSED"),"")</f>
        <v/>
      </c>
      <c r="V30" s="396"/>
      <c r="W30" s="397"/>
      <c r="X30" s="397"/>
      <c r="Y30" s="397"/>
      <c r="AA30" s="226"/>
      <c r="AC30" s="216" t="str">
        <f>IF(B30="ACADEMIC",HELPER_SUBJECTS!$U$4,IF(B30="TECHPRO",HELPER_SUBJECTS!$V$4,""))</f>
        <v/>
      </c>
      <c r="AD30" s="216">
        <f>_xlfn.XLOOKUP(D30,HELPER_SUBJECTS!D:D,HELPER_SUBJECTS!G:G)</f>
        <v>0</v>
      </c>
    </row>
    <row r="31" spans="1:32" s="34" customFormat="1" ht="10.15" customHeight="1">
      <c r="A31" s="46">
        <v>2</v>
      </c>
      <c r="B31" s="240"/>
      <c r="C31" s="240"/>
      <c r="D31" s="288"/>
      <c r="E31" s="288"/>
      <c r="F31" s="288"/>
      <c r="G31" s="288"/>
      <c r="H31" s="288"/>
      <c r="I31" s="288"/>
      <c r="J31" s="288"/>
      <c r="K31" s="288"/>
      <c r="L31" s="288"/>
      <c r="M31" s="288"/>
      <c r="N31" s="288"/>
      <c r="O31" s="288"/>
      <c r="P31" s="288"/>
      <c r="Q31" s="288"/>
      <c r="R31" s="80"/>
      <c r="S31" s="80"/>
      <c r="T31" s="54" t="str">
        <f t="shared" ref="T31:T33" si="7">IF(OR(R31="",S31=""),"",IF(ISERROR(ROUND(AVERAGE(R31,S31),0)),"",ROUND(AVERAGE(R31,S31),0)))</f>
        <v/>
      </c>
      <c r="U31" s="347" t="str">
        <f t="shared" ref="U31:U33" si="8">IF(T31&lt;&gt;"",IF(T31&lt;75,"FAILED","PASSED"),"")</f>
        <v/>
      </c>
      <c r="V31" s="347"/>
      <c r="W31" s="412"/>
      <c r="X31" s="412"/>
      <c r="Y31" s="412"/>
      <c r="AA31" s="226"/>
      <c r="AC31" s="216" t="str">
        <f>IF(B31="ACADEMIC",HELPER_SUBJECTS!$U$4,IF(B31="TECHPRO",HELPER_SUBJECTS!$V$4,""))</f>
        <v/>
      </c>
      <c r="AD31" s="216">
        <f>_xlfn.XLOOKUP(D31,HELPER_SUBJECTS!D:D,HELPER_SUBJECTS!G:G)</f>
        <v>0</v>
      </c>
    </row>
    <row r="32" spans="1:32" s="34" customFormat="1" ht="10.15" customHeight="1">
      <c r="A32" s="46">
        <v>3</v>
      </c>
      <c r="B32" s="240"/>
      <c r="C32" s="240"/>
      <c r="D32" s="288"/>
      <c r="E32" s="288"/>
      <c r="F32" s="288"/>
      <c r="G32" s="288"/>
      <c r="H32" s="288"/>
      <c r="I32" s="288"/>
      <c r="J32" s="288"/>
      <c r="K32" s="288"/>
      <c r="L32" s="288"/>
      <c r="M32" s="288"/>
      <c r="N32" s="288"/>
      <c r="O32" s="288"/>
      <c r="P32" s="288"/>
      <c r="Q32" s="288"/>
      <c r="R32" s="80"/>
      <c r="S32" s="80"/>
      <c r="T32" s="54" t="str">
        <f t="shared" si="7"/>
        <v/>
      </c>
      <c r="U32" s="347" t="str">
        <f t="shared" si="8"/>
        <v/>
      </c>
      <c r="V32" s="347"/>
      <c r="W32" s="412"/>
      <c r="X32" s="412"/>
      <c r="Y32" s="412"/>
      <c r="AA32" s="226"/>
      <c r="AC32" s="216" t="str">
        <f>IF(B32="ACADEMIC",HELPER_SUBJECTS!$U$4,IF(B32="TECHPRO",HELPER_SUBJECTS!$V$4,""))</f>
        <v/>
      </c>
      <c r="AD32" s="216">
        <f>_xlfn.XLOOKUP(D32,HELPER_SUBJECTS!D:D,HELPER_SUBJECTS!G:G)</f>
        <v>0</v>
      </c>
    </row>
    <row r="33" spans="1:32" s="34" customFormat="1" ht="10.15" customHeight="1">
      <c r="A33" s="49">
        <v>4</v>
      </c>
      <c r="B33" s="348"/>
      <c r="C33" s="348"/>
      <c r="D33" s="310"/>
      <c r="E33" s="310"/>
      <c r="F33" s="310"/>
      <c r="G33" s="310"/>
      <c r="H33" s="310"/>
      <c r="I33" s="310"/>
      <c r="J33" s="310"/>
      <c r="K33" s="310"/>
      <c r="L33" s="310"/>
      <c r="M33" s="310"/>
      <c r="N33" s="310"/>
      <c r="O33" s="310"/>
      <c r="P33" s="310"/>
      <c r="Q33" s="310"/>
      <c r="R33" s="81"/>
      <c r="S33" s="81"/>
      <c r="T33" s="55" t="str">
        <f t="shared" si="7"/>
        <v/>
      </c>
      <c r="U33" s="349" t="str">
        <f t="shared" si="8"/>
        <v/>
      </c>
      <c r="V33" s="349"/>
      <c r="W33" s="411"/>
      <c r="X33" s="411"/>
      <c r="Y33" s="411"/>
      <c r="AA33" s="226"/>
      <c r="AC33" s="216" t="str">
        <f>IF(B33="ACADEMIC",HELPER_SUBJECTS!$U$4,IF(B33="TECHPRO",HELPER_SUBJECTS!$V$4,""))</f>
        <v/>
      </c>
      <c r="AD33" s="216">
        <f>_xlfn.XLOOKUP(D33,HELPER_SUBJECTS!D:D,HELPER_SUBJECTS!G:G)</f>
        <v>0</v>
      </c>
    </row>
    <row r="34" spans="1:32" s="37" customFormat="1" ht="4.9000000000000004" customHeight="1">
      <c r="B34" s="36"/>
      <c r="AA34" s="34"/>
      <c r="AB34" s="34"/>
      <c r="AC34" s="216" t="str">
        <f>IF(B34="ACADEMIC",HELPER_SUBJECTS!$U$4,IF(B34="TECHPRO",HELPER_SUBJECTS!$V$4,""))</f>
        <v/>
      </c>
      <c r="AD34" s="216"/>
    </row>
    <row r="35" spans="1:32" s="19" customFormat="1">
      <c r="A35" s="144" t="s">
        <v>83</v>
      </c>
      <c r="B35" s="21"/>
      <c r="D35" s="389"/>
      <c r="E35" s="389"/>
      <c r="F35" s="389"/>
      <c r="G35" s="389"/>
      <c r="H35" s="389"/>
      <c r="I35" s="389"/>
      <c r="J35" s="389"/>
      <c r="K35" s="389"/>
      <c r="L35" s="389"/>
      <c r="M35" s="389"/>
      <c r="N35" s="389"/>
      <c r="O35" s="389"/>
      <c r="P35" s="389"/>
      <c r="Q35" s="389"/>
      <c r="S35" s="146" t="s">
        <v>85</v>
      </c>
      <c r="T35" s="292"/>
      <c r="U35" s="292"/>
      <c r="V35" s="292"/>
      <c r="W35" s="292"/>
      <c r="X35" s="292"/>
      <c r="Y35" s="292"/>
      <c r="AA35" s="34"/>
      <c r="AB35" s="34"/>
      <c r="AC35" s="216"/>
      <c r="AD35" s="216"/>
    </row>
    <row r="36" spans="1:32" s="34" customFormat="1" ht="4.9000000000000004" customHeight="1">
      <c r="A36" s="31"/>
      <c r="B36" s="35"/>
      <c r="E36" s="35"/>
      <c r="F36" s="35"/>
      <c r="G36" s="35"/>
      <c r="H36" s="35"/>
      <c r="I36" s="35"/>
      <c r="J36" s="35"/>
      <c r="K36" s="35"/>
      <c r="L36" s="35"/>
      <c r="M36" s="35"/>
      <c r="N36" s="35"/>
      <c r="O36" s="35"/>
      <c r="P36" s="35"/>
      <c r="Q36" s="35"/>
      <c r="R36" s="160"/>
      <c r="T36" s="58"/>
      <c r="U36" s="58"/>
      <c r="V36" s="58"/>
      <c r="W36" s="58"/>
      <c r="X36" s="58"/>
      <c r="Y36" s="58"/>
      <c r="AC36" s="216"/>
      <c r="AD36" s="216"/>
    </row>
    <row r="37" spans="1:32" s="13" customFormat="1" ht="5.0999999999999996" customHeight="1">
      <c r="A37" s="161"/>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22"/>
      <c r="AA37" s="34"/>
      <c r="AB37" s="34"/>
      <c r="AC37" s="216"/>
      <c r="AD37" s="100"/>
    </row>
    <row r="38" spans="1:32" s="19" customFormat="1" ht="13.15" customHeight="1">
      <c r="A38" s="138" t="s">
        <v>34</v>
      </c>
      <c r="B38" s="39"/>
      <c r="C38" s="395"/>
      <c r="D38" s="395"/>
      <c r="E38" s="395"/>
      <c r="F38" s="395"/>
      <c r="G38" s="395"/>
      <c r="H38" s="395"/>
      <c r="I38" s="395"/>
      <c r="J38" s="395"/>
      <c r="K38" s="395"/>
      <c r="M38" s="140" t="s">
        <v>35</v>
      </c>
      <c r="N38" s="232"/>
      <c r="O38" s="232"/>
      <c r="R38" s="140" t="s">
        <v>36</v>
      </c>
      <c r="S38" s="295">
        <v>12</v>
      </c>
      <c r="T38" s="295"/>
      <c r="U38" s="17"/>
      <c r="V38" s="140" t="s">
        <v>37</v>
      </c>
      <c r="W38" s="389"/>
      <c r="X38" s="389"/>
      <c r="Y38" s="389"/>
      <c r="AA38" s="227" t="s">
        <v>86</v>
      </c>
      <c r="AB38" s="34"/>
      <c r="AC38" s="216"/>
      <c r="AD38" s="100"/>
    </row>
    <row r="39" spans="1:32" s="19" customFormat="1" ht="13.9">
      <c r="A39" s="139" t="s">
        <v>39</v>
      </c>
      <c r="B39" s="17"/>
      <c r="C39" s="260"/>
      <c r="D39" s="260"/>
      <c r="E39" s="260"/>
      <c r="F39" s="260"/>
      <c r="G39" s="260"/>
      <c r="H39" s="260"/>
      <c r="I39" s="260"/>
      <c r="J39" s="260"/>
      <c r="K39" s="260"/>
      <c r="L39" s="260"/>
      <c r="M39" s="260"/>
      <c r="N39" s="260"/>
      <c r="O39" s="260"/>
      <c r="R39" s="140" t="s">
        <v>40</v>
      </c>
      <c r="S39" s="232"/>
      <c r="T39" s="232"/>
      <c r="U39" s="232"/>
      <c r="V39" s="140" t="s">
        <v>41</v>
      </c>
      <c r="W39" s="317" t="s">
        <v>87</v>
      </c>
      <c r="X39" s="317"/>
      <c r="Y39" s="317"/>
      <c r="AA39" s="227"/>
      <c r="AB39" s="34"/>
      <c r="AC39" s="216"/>
      <c r="AD39" s="216"/>
    </row>
    <row r="40" spans="1:32" s="13" customFormat="1" ht="4.9000000000000004" customHeight="1">
      <c r="Z40" s="22"/>
      <c r="AA40" s="227"/>
      <c r="AB40" s="34"/>
      <c r="AC40" s="216"/>
      <c r="AD40" s="216"/>
    </row>
    <row r="41" spans="1:32" s="34" customFormat="1" ht="10.15" customHeight="1">
      <c r="A41" s="278" t="s">
        <v>43</v>
      </c>
      <c r="B41" s="279"/>
      <c r="C41" s="280"/>
      <c r="D41" s="278" t="s">
        <v>44</v>
      </c>
      <c r="E41" s="279"/>
      <c r="F41" s="279"/>
      <c r="G41" s="279"/>
      <c r="H41" s="279"/>
      <c r="I41" s="279"/>
      <c r="J41" s="279"/>
      <c r="K41" s="279"/>
      <c r="L41" s="279"/>
      <c r="M41" s="279"/>
      <c r="N41" s="279"/>
      <c r="O41" s="279"/>
      <c r="P41" s="279"/>
      <c r="Q41" s="280"/>
      <c r="R41" s="276" t="s">
        <v>45</v>
      </c>
      <c r="S41" s="276"/>
      <c r="T41" s="301" t="s">
        <v>88</v>
      </c>
      <c r="U41" s="301"/>
      <c r="V41" s="301"/>
      <c r="W41" s="302" t="s">
        <v>47</v>
      </c>
      <c r="X41" s="303"/>
      <c r="Y41" s="304"/>
      <c r="AA41" s="227"/>
      <c r="AC41" s="216"/>
      <c r="AD41" s="216"/>
    </row>
    <row r="42" spans="1:32" s="34" customFormat="1" ht="10.15" customHeight="1">
      <c r="A42" s="281"/>
      <c r="B42" s="282"/>
      <c r="C42" s="283"/>
      <c r="D42" s="281"/>
      <c r="E42" s="282"/>
      <c r="F42" s="282"/>
      <c r="G42" s="282"/>
      <c r="H42" s="282"/>
      <c r="I42" s="282"/>
      <c r="J42" s="282"/>
      <c r="K42" s="282"/>
      <c r="L42" s="282"/>
      <c r="M42" s="282"/>
      <c r="N42" s="282"/>
      <c r="O42" s="282"/>
      <c r="P42" s="282"/>
      <c r="Q42" s="283"/>
      <c r="R42" s="276"/>
      <c r="S42" s="276"/>
      <c r="T42" s="276" t="s">
        <v>48</v>
      </c>
      <c r="U42" s="276" t="s">
        <v>49</v>
      </c>
      <c r="V42" s="276"/>
      <c r="W42" s="305"/>
      <c r="X42" s="306"/>
      <c r="Y42" s="307"/>
      <c r="AA42" s="227"/>
      <c r="AC42" s="216"/>
      <c r="AD42" s="216"/>
    </row>
    <row r="43" spans="1:32" s="34" customFormat="1" ht="10.15" customHeight="1">
      <c r="A43" s="277" t="s">
        <v>99</v>
      </c>
      <c r="B43" s="277"/>
      <c r="C43" s="277"/>
      <c r="D43" s="277" t="s">
        <v>51</v>
      </c>
      <c r="E43" s="277"/>
      <c r="F43" s="277"/>
      <c r="G43" s="277"/>
      <c r="H43" s="277"/>
      <c r="I43" s="277"/>
      <c r="J43" s="277"/>
      <c r="K43" s="277"/>
      <c r="L43" s="277"/>
      <c r="M43" s="277"/>
      <c r="N43" s="277"/>
      <c r="O43" s="277"/>
      <c r="P43" s="277"/>
      <c r="Q43" s="277"/>
      <c r="R43" s="220" t="s">
        <v>89</v>
      </c>
      <c r="S43" s="220" t="s">
        <v>90</v>
      </c>
      <c r="T43" s="276"/>
      <c r="U43" s="276"/>
      <c r="V43" s="276"/>
      <c r="W43" s="337" t="s">
        <v>54</v>
      </c>
      <c r="X43" s="338"/>
      <c r="Y43" s="339"/>
      <c r="AA43" s="227"/>
      <c r="AC43" s="216" t="s">
        <v>100</v>
      </c>
      <c r="AD43" s="190" t="s">
        <v>66</v>
      </c>
      <c r="AE43" s="192" t="s">
        <v>67</v>
      </c>
      <c r="AF43" s="197" t="s">
        <v>68</v>
      </c>
    </row>
    <row r="44" spans="1:32" s="1" customFormat="1" ht="10.15" customHeight="1">
      <c r="A44" s="50">
        <v>1</v>
      </c>
      <c r="B44" s="399"/>
      <c r="C44" s="400"/>
      <c r="D44" s="313"/>
      <c r="E44" s="313"/>
      <c r="F44" s="313"/>
      <c r="G44" s="313"/>
      <c r="H44" s="313"/>
      <c r="I44" s="313"/>
      <c r="J44" s="313"/>
      <c r="K44" s="313"/>
      <c r="L44" s="313"/>
      <c r="M44" s="313"/>
      <c r="N44" s="313"/>
      <c r="O44" s="313"/>
      <c r="P44" s="313"/>
      <c r="Q44" s="313"/>
      <c r="R44" s="82"/>
      <c r="S44" s="82"/>
      <c r="T44" s="224" t="str">
        <f>IF(AF44=2,IF(COUNTA(R44:S44)=2,ROUND(AVERAGE(R44:S44),0),""),"")</f>
        <v/>
      </c>
      <c r="U44" s="354" t="str">
        <f t="shared" ref="U44:U53" si="9">IF(T44&lt;&gt;"",IF(T44&lt;75,"FAILED","PASSED"),"")</f>
        <v/>
      </c>
      <c r="V44" s="355"/>
      <c r="W44" s="318" t="str">
        <f>_xlfn.IFNA(_xlfn.XLOOKUP(AF44,HELPER_SUBJECTS!$I$13:$I$14,HELPER_SUBJECTS!$J$13:$J$14),"")</f>
        <v/>
      </c>
      <c r="X44" s="319"/>
      <c r="Y44" s="320"/>
      <c r="AA44" s="227"/>
      <c r="AB44" s="34"/>
      <c r="AC44" s="216" t="str">
        <f>IF(B44="ACADEMIC",HELPER_SUBJECTS!$U$4,IF(B44="TECHPRO",HELPER_SUBJECTS!$V$4,""))</f>
        <v/>
      </c>
      <c r="AD44" s="191">
        <f>_xlfn.IFNA(_xlfn.XLOOKUP(D44,HELPER_SUBJECTS!D:D,HELPER_SUBJECTS!F:F),0)</f>
        <v>0</v>
      </c>
      <c r="AE44" s="191">
        <f>_xlfn.IFNA(IF(D44&lt;&gt;"",_xlfn.XLOOKUP(D44,ANNEX!$F$52:$F$61,ANNEX!$H$52:$H$61),0),0)</f>
        <v>0</v>
      </c>
      <c r="AF44" s="196">
        <f t="shared" ref="AF44:AF53" si="10">IF(AND(AD44&gt;0,AE44=0),AD44,IF(AND(AE44&gt;0,AD44=0),AE44,0))</f>
        <v>0</v>
      </c>
    </row>
    <row r="45" spans="1:32" s="1" customFormat="1" ht="10.15" customHeight="1">
      <c r="A45" s="46">
        <v>2</v>
      </c>
      <c r="B45" s="385"/>
      <c r="C45" s="386"/>
      <c r="D45" s="288"/>
      <c r="E45" s="288"/>
      <c r="F45" s="288"/>
      <c r="G45" s="288"/>
      <c r="H45" s="288"/>
      <c r="I45" s="288"/>
      <c r="J45" s="288"/>
      <c r="K45" s="288"/>
      <c r="L45" s="288"/>
      <c r="M45" s="288"/>
      <c r="N45" s="288"/>
      <c r="O45" s="288"/>
      <c r="P45" s="288"/>
      <c r="Q45" s="288"/>
      <c r="R45" s="80"/>
      <c r="S45" s="80"/>
      <c r="T45" s="213" t="str">
        <f>IF(AF45=2,IF(COUNTA(R45:S45)=2,ROUND(AVERAGE(R45:S45),0),""),"")</f>
        <v/>
      </c>
      <c r="U45" s="236" t="str">
        <f t="shared" si="9"/>
        <v/>
      </c>
      <c r="V45" s="236"/>
      <c r="W45" s="233" t="str">
        <f>_xlfn.IFNA(_xlfn.XLOOKUP(AF45,HELPER_SUBJECTS!$I$13:$I$14,HELPER_SUBJECTS!$J$13:$J$14),"")</f>
        <v/>
      </c>
      <c r="X45" s="234"/>
      <c r="Y45" s="235"/>
      <c r="AA45" s="227"/>
      <c r="AB45" s="34"/>
      <c r="AC45" s="216" t="str">
        <f>IF(B45="ACADEMIC",HELPER_SUBJECTS!$U$4,IF(B45="TECHPRO",HELPER_SUBJECTS!$V$4,""))</f>
        <v/>
      </c>
      <c r="AD45" s="191">
        <f>_xlfn.IFNA(_xlfn.XLOOKUP(D45,HELPER_SUBJECTS!D:D,HELPER_SUBJECTS!F:F),0)</f>
        <v>0</v>
      </c>
      <c r="AE45" s="191">
        <f>_xlfn.IFNA(IF(D45&lt;&gt;"",_xlfn.XLOOKUP(D45,ANNEX!$F$52:$F$61,ANNEX!$H$52:$H$61),0),0)</f>
        <v>0</v>
      </c>
      <c r="AF45" s="196">
        <f t="shared" ref="AF45:AF49" si="11">IF(AND(AD45&gt;0,AE45=0),AD45,IF(AND(AE45&gt;0,AD45=0),AE45,0))</f>
        <v>0</v>
      </c>
    </row>
    <row r="46" spans="1:32" s="1" customFormat="1" ht="10.15" customHeight="1">
      <c r="A46" s="46">
        <v>3</v>
      </c>
      <c r="B46" s="385"/>
      <c r="C46" s="386"/>
      <c r="D46" s="288"/>
      <c r="E46" s="288"/>
      <c r="F46" s="288"/>
      <c r="G46" s="288"/>
      <c r="H46" s="288"/>
      <c r="I46" s="288"/>
      <c r="J46" s="288"/>
      <c r="K46" s="288"/>
      <c r="L46" s="288"/>
      <c r="M46" s="288"/>
      <c r="N46" s="288"/>
      <c r="O46" s="288"/>
      <c r="P46" s="288"/>
      <c r="Q46" s="288"/>
      <c r="R46" s="80"/>
      <c r="S46" s="80"/>
      <c r="T46" s="213" t="str">
        <f t="shared" ref="T46:T49" si="12">IF(AF46=2,IF(COUNTA(R46:S46)=2,ROUND(AVERAGE(R46:S46),0),""),"")</f>
        <v/>
      </c>
      <c r="U46" s="236" t="str">
        <f t="shared" ref="U46:U49" si="13">IF(T46&lt;&gt;"",IF(T46&lt;75,"FAILED","PASSED"),"")</f>
        <v/>
      </c>
      <c r="V46" s="236"/>
      <c r="W46" s="233" t="str">
        <f>_xlfn.IFNA(_xlfn.XLOOKUP(AF46,HELPER_SUBJECTS!$I$13:$I$14,HELPER_SUBJECTS!$J$13:$J$14),"")</f>
        <v/>
      </c>
      <c r="X46" s="234"/>
      <c r="Y46" s="235"/>
      <c r="AA46" s="227"/>
      <c r="AB46" s="34"/>
      <c r="AC46" s="216" t="str">
        <f>IF(B46="ACADEMIC",HELPER_SUBJECTS!$U$4,IF(B46="TECHPRO",HELPER_SUBJECTS!$V$4,""))</f>
        <v/>
      </c>
      <c r="AD46" s="191">
        <f>_xlfn.IFNA(_xlfn.XLOOKUP(D46,HELPER_SUBJECTS!D:D,HELPER_SUBJECTS!F:F),0)</f>
        <v>0</v>
      </c>
      <c r="AE46" s="191">
        <f>_xlfn.IFNA(IF(D46&lt;&gt;"",_xlfn.XLOOKUP(D46,ANNEX!$F$52:$F$61,ANNEX!$H$52:$H$61),0),0)</f>
        <v>0</v>
      </c>
      <c r="AF46" s="196">
        <f t="shared" si="11"/>
        <v>0</v>
      </c>
    </row>
    <row r="47" spans="1:32" s="1" customFormat="1" ht="10.15" customHeight="1">
      <c r="A47" s="46">
        <v>4</v>
      </c>
      <c r="B47" s="385"/>
      <c r="C47" s="386"/>
      <c r="D47" s="288"/>
      <c r="E47" s="288"/>
      <c r="F47" s="288"/>
      <c r="G47" s="288"/>
      <c r="H47" s="288"/>
      <c r="I47" s="288"/>
      <c r="J47" s="288"/>
      <c r="K47" s="288"/>
      <c r="L47" s="288"/>
      <c r="M47" s="288"/>
      <c r="N47" s="288"/>
      <c r="O47" s="288"/>
      <c r="P47" s="288"/>
      <c r="Q47" s="288"/>
      <c r="R47" s="80"/>
      <c r="S47" s="80"/>
      <c r="T47" s="213" t="str">
        <f t="shared" si="12"/>
        <v/>
      </c>
      <c r="U47" s="236" t="str">
        <f t="shared" si="13"/>
        <v/>
      </c>
      <c r="V47" s="236"/>
      <c r="W47" s="233" t="str">
        <f>_xlfn.IFNA(_xlfn.XLOOKUP(AF47,HELPER_SUBJECTS!$I$13:$I$14,HELPER_SUBJECTS!$J$13:$J$14),"")</f>
        <v/>
      </c>
      <c r="X47" s="234"/>
      <c r="Y47" s="235"/>
      <c r="AA47" s="227"/>
      <c r="AB47" s="34"/>
      <c r="AC47" s="216" t="str">
        <f>IF(B47="ACADEMIC",HELPER_SUBJECTS!$U$4,IF(B47="TECHPRO",HELPER_SUBJECTS!$V$4,""))</f>
        <v/>
      </c>
      <c r="AD47" s="191">
        <f>_xlfn.IFNA(_xlfn.XLOOKUP(D47,HELPER_SUBJECTS!D:D,HELPER_SUBJECTS!F:F),0)</f>
        <v>0</v>
      </c>
      <c r="AE47" s="191">
        <f>_xlfn.IFNA(IF(D47&lt;&gt;"",_xlfn.XLOOKUP(D47,ANNEX!$F$52:$F$61,ANNEX!$H$52:$H$61),0),0)</f>
        <v>0</v>
      </c>
      <c r="AF47" s="196">
        <f t="shared" si="11"/>
        <v>0</v>
      </c>
    </row>
    <row r="48" spans="1:32" s="1" customFormat="1" ht="10.15" customHeight="1">
      <c r="A48" s="46">
        <v>5</v>
      </c>
      <c r="B48" s="385"/>
      <c r="C48" s="386"/>
      <c r="D48" s="288"/>
      <c r="E48" s="288"/>
      <c r="F48" s="288"/>
      <c r="G48" s="288"/>
      <c r="H48" s="288"/>
      <c r="I48" s="288"/>
      <c r="J48" s="288"/>
      <c r="K48" s="288"/>
      <c r="L48" s="288"/>
      <c r="M48" s="288"/>
      <c r="N48" s="288"/>
      <c r="O48" s="288"/>
      <c r="P48" s="288"/>
      <c r="Q48" s="288"/>
      <c r="R48" s="80"/>
      <c r="S48" s="80"/>
      <c r="T48" s="213" t="str">
        <f t="shared" si="12"/>
        <v/>
      </c>
      <c r="U48" s="236" t="str">
        <f t="shared" si="13"/>
        <v/>
      </c>
      <c r="V48" s="236"/>
      <c r="W48" s="233" t="str">
        <f>_xlfn.IFNA(_xlfn.XLOOKUP(AF48,HELPER_SUBJECTS!$I$13:$I$14,HELPER_SUBJECTS!$J$13:$J$14),"")</f>
        <v/>
      </c>
      <c r="X48" s="234"/>
      <c r="Y48" s="235"/>
      <c r="AA48" s="227"/>
      <c r="AB48" s="34"/>
      <c r="AC48" s="216" t="str">
        <f>IF(B48="ACADEMIC",HELPER_SUBJECTS!$U$4,IF(B48="TECHPRO",HELPER_SUBJECTS!$V$4,""))</f>
        <v/>
      </c>
      <c r="AD48" s="191">
        <f>_xlfn.IFNA(_xlfn.XLOOKUP(D48,HELPER_SUBJECTS!D:D,HELPER_SUBJECTS!F:F),0)</f>
        <v>0</v>
      </c>
      <c r="AE48" s="191">
        <f>_xlfn.IFNA(IF(D48&lt;&gt;"",_xlfn.XLOOKUP(D48,ANNEX!$F$52:$F$61,ANNEX!$H$52:$H$61),0),0)</f>
        <v>0</v>
      </c>
      <c r="AF48" s="196">
        <f t="shared" si="11"/>
        <v>0</v>
      </c>
    </row>
    <row r="49" spans="1:32" s="1" customFormat="1" ht="10.15" customHeight="1">
      <c r="A49" s="46">
        <v>6</v>
      </c>
      <c r="B49" s="385"/>
      <c r="C49" s="386"/>
      <c r="D49" s="288"/>
      <c r="E49" s="288"/>
      <c r="F49" s="288"/>
      <c r="G49" s="288"/>
      <c r="H49" s="288"/>
      <c r="I49" s="288"/>
      <c r="J49" s="288"/>
      <c r="K49" s="288"/>
      <c r="L49" s="288"/>
      <c r="M49" s="288"/>
      <c r="N49" s="288"/>
      <c r="O49" s="288"/>
      <c r="P49" s="288"/>
      <c r="Q49" s="288"/>
      <c r="R49" s="80"/>
      <c r="S49" s="80"/>
      <c r="T49" s="213" t="str">
        <f t="shared" si="12"/>
        <v/>
      </c>
      <c r="U49" s="236" t="str">
        <f t="shared" si="13"/>
        <v/>
      </c>
      <c r="V49" s="236"/>
      <c r="W49" s="233" t="str">
        <f>_xlfn.IFNA(_xlfn.XLOOKUP(AF49,HELPER_SUBJECTS!$I$13:$I$14,HELPER_SUBJECTS!$J$13:$J$14),"")</f>
        <v/>
      </c>
      <c r="X49" s="234"/>
      <c r="Y49" s="235"/>
      <c r="AA49" s="227"/>
      <c r="AB49" s="34"/>
      <c r="AC49" s="216" t="str">
        <f>IF(B49="ACADEMIC",HELPER_SUBJECTS!$U$4,IF(B49="TECHPRO",HELPER_SUBJECTS!$V$4,""))</f>
        <v/>
      </c>
      <c r="AD49" s="191">
        <f>_xlfn.IFNA(_xlfn.XLOOKUP(D49,HELPER_SUBJECTS!D:D,HELPER_SUBJECTS!F:F),0)</f>
        <v>0</v>
      </c>
      <c r="AE49" s="191">
        <f>_xlfn.IFNA(IF(D49&lt;&gt;"",_xlfn.XLOOKUP(D49,ANNEX!$F$52:$F$61,ANNEX!$H$52:$H$61),0),0)</f>
        <v>0</v>
      </c>
      <c r="AF49" s="196">
        <f t="shared" si="11"/>
        <v>0</v>
      </c>
    </row>
    <row r="50" spans="1:32" s="1" customFormat="1" ht="10.15" customHeight="1">
      <c r="A50" s="46">
        <v>7</v>
      </c>
      <c r="B50" s="385"/>
      <c r="C50" s="386"/>
      <c r="D50" s="288"/>
      <c r="E50" s="288"/>
      <c r="F50" s="288"/>
      <c r="G50" s="288"/>
      <c r="H50" s="288"/>
      <c r="I50" s="288"/>
      <c r="J50" s="288"/>
      <c r="K50" s="288"/>
      <c r="L50" s="288"/>
      <c r="M50" s="288"/>
      <c r="N50" s="288"/>
      <c r="O50" s="288"/>
      <c r="P50" s="288"/>
      <c r="Q50" s="288"/>
      <c r="R50" s="80"/>
      <c r="S50" s="80"/>
      <c r="T50" s="213" t="str">
        <f t="shared" ref="T50:T53" si="14">IF(AF50=2,IF(COUNTA(R50:S50)=2,ROUND(AVERAGE(R50:S50),0),""),"")</f>
        <v/>
      </c>
      <c r="U50" s="236" t="str">
        <f t="shared" si="9"/>
        <v/>
      </c>
      <c r="V50" s="236"/>
      <c r="W50" s="233" t="str">
        <f>_xlfn.IFNA(_xlfn.XLOOKUP(AF50,HELPER_SUBJECTS!$I$13:$I$14,HELPER_SUBJECTS!$J$13:$J$14),"")</f>
        <v/>
      </c>
      <c r="X50" s="234"/>
      <c r="Y50" s="235"/>
      <c r="AA50" s="227"/>
      <c r="AB50" s="22"/>
      <c r="AC50" s="216" t="str">
        <f>IF(B50="ACADEMIC",HELPER_SUBJECTS!$U$4,IF(B50="TECHPRO",HELPER_SUBJECTS!$V$4,""))</f>
        <v/>
      </c>
      <c r="AD50" s="191">
        <f>_xlfn.IFNA(_xlfn.XLOOKUP(D50,HELPER_SUBJECTS!D:D,HELPER_SUBJECTS!F:F),0)</f>
        <v>0</v>
      </c>
      <c r="AE50" s="191">
        <f>_xlfn.IFNA(IF(D50&lt;&gt;"",_xlfn.XLOOKUP(D50,ANNEX!$F$52:$F$61,ANNEX!$H$52:$H$61),0),0)</f>
        <v>0</v>
      </c>
      <c r="AF50" s="196">
        <f t="shared" si="10"/>
        <v>0</v>
      </c>
    </row>
    <row r="51" spans="1:32" s="1" customFormat="1" ht="10.15" customHeight="1">
      <c r="A51" s="46">
        <v>8</v>
      </c>
      <c r="B51" s="385"/>
      <c r="C51" s="386"/>
      <c r="D51" s="288"/>
      <c r="E51" s="288"/>
      <c r="F51" s="288"/>
      <c r="G51" s="288"/>
      <c r="H51" s="288"/>
      <c r="I51" s="288"/>
      <c r="J51" s="288"/>
      <c r="K51" s="288"/>
      <c r="L51" s="288"/>
      <c r="M51" s="288"/>
      <c r="N51" s="288"/>
      <c r="O51" s="288"/>
      <c r="P51" s="288"/>
      <c r="Q51" s="288"/>
      <c r="R51" s="80"/>
      <c r="S51" s="80"/>
      <c r="T51" s="213" t="str">
        <f t="shared" si="14"/>
        <v/>
      </c>
      <c r="U51" s="387" t="str">
        <f t="shared" si="9"/>
        <v/>
      </c>
      <c r="V51" s="388"/>
      <c r="W51" s="233" t="str">
        <f>_xlfn.IFNA(_xlfn.XLOOKUP(AF51,HELPER_SUBJECTS!$I$13:$I$14,HELPER_SUBJECTS!$J$13:$J$14),"")</f>
        <v/>
      </c>
      <c r="X51" s="234"/>
      <c r="Y51" s="235"/>
      <c r="AA51" s="227"/>
      <c r="AB51" s="34"/>
      <c r="AC51" s="216" t="str">
        <f>IF(B51="ACADEMIC",HELPER_SUBJECTS!$U$4,IF(B51="TECHPRO",HELPER_SUBJECTS!$V$4,""))</f>
        <v/>
      </c>
      <c r="AD51" s="191">
        <f>_xlfn.IFNA(_xlfn.XLOOKUP(D51,HELPER_SUBJECTS!D:D,HELPER_SUBJECTS!F:F),0)</f>
        <v>0</v>
      </c>
      <c r="AE51" s="191">
        <f>_xlfn.IFNA(IF(D51&lt;&gt;"",_xlfn.XLOOKUP(D51,ANNEX!$F$52:$F$61,ANNEX!$H$52:$H$61),0),0)</f>
        <v>0</v>
      </c>
      <c r="AF51" s="196">
        <f t="shared" si="10"/>
        <v>0</v>
      </c>
    </row>
    <row r="52" spans="1:32" s="1" customFormat="1" ht="10.15" customHeight="1">
      <c r="A52" s="46">
        <v>9</v>
      </c>
      <c r="B52" s="385"/>
      <c r="C52" s="386"/>
      <c r="D52" s="288"/>
      <c r="E52" s="288"/>
      <c r="F52" s="288"/>
      <c r="G52" s="288"/>
      <c r="H52" s="288"/>
      <c r="I52" s="288"/>
      <c r="J52" s="288"/>
      <c r="K52" s="288"/>
      <c r="L52" s="288"/>
      <c r="M52" s="288"/>
      <c r="N52" s="288"/>
      <c r="O52" s="288"/>
      <c r="P52" s="288"/>
      <c r="Q52" s="288"/>
      <c r="R52" s="80"/>
      <c r="S52" s="80"/>
      <c r="T52" s="213" t="str">
        <f t="shared" si="14"/>
        <v/>
      </c>
      <c r="U52" s="387" t="str">
        <f t="shared" si="9"/>
        <v/>
      </c>
      <c r="V52" s="388"/>
      <c r="W52" s="233" t="str">
        <f>_xlfn.IFNA(_xlfn.XLOOKUP(AF52,HELPER_SUBJECTS!$I$13:$I$14,HELPER_SUBJECTS!$J$13:$J$14),"")</f>
        <v/>
      </c>
      <c r="X52" s="234"/>
      <c r="Y52" s="235"/>
      <c r="AA52" s="227"/>
      <c r="AB52" s="34"/>
      <c r="AC52" s="216" t="str">
        <f>IF(B52="ACADEMIC",HELPER_SUBJECTS!$U$4,IF(B52="TECHPRO",HELPER_SUBJECTS!$V$4,""))</f>
        <v/>
      </c>
      <c r="AD52" s="191">
        <f>_xlfn.IFNA(_xlfn.XLOOKUP(D52,HELPER_SUBJECTS!D:D,HELPER_SUBJECTS!F:F),0)</f>
        <v>0</v>
      </c>
      <c r="AE52" s="191">
        <f>_xlfn.IFNA(IF(D52&lt;&gt;"",_xlfn.XLOOKUP(D52,ANNEX!$F$52:$F$61,ANNEX!$H$52:$H$61),0),0)</f>
        <v>0</v>
      </c>
      <c r="AF52" s="196">
        <f t="shared" si="10"/>
        <v>0</v>
      </c>
    </row>
    <row r="53" spans="1:32" s="1" customFormat="1" ht="10.15" customHeight="1">
      <c r="A53" s="49">
        <v>10</v>
      </c>
      <c r="B53" s="390"/>
      <c r="C53" s="391"/>
      <c r="D53" s="310"/>
      <c r="E53" s="310"/>
      <c r="F53" s="310"/>
      <c r="G53" s="310"/>
      <c r="H53" s="310"/>
      <c r="I53" s="310"/>
      <c r="J53" s="310"/>
      <c r="K53" s="310"/>
      <c r="L53" s="310"/>
      <c r="M53" s="310"/>
      <c r="N53" s="310"/>
      <c r="O53" s="310"/>
      <c r="P53" s="310"/>
      <c r="Q53" s="310"/>
      <c r="R53" s="78"/>
      <c r="S53" s="78"/>
      <c r="T53" s="215" t="str">
        <f t="shared" si="14"/>
        <v/>
      </c>
      <c r="U53" s="401" t="str">
        <f t="shared" si="9"/>
        <v/>
      </c>
      <c r="V53" s="402"/>
      <c r="W53" s="350" t="str">
        <f>_xlfn.IFNA(_xlfn.XLOOKUP(AF53,HELPER_SUBJECTS!$I$13:$I$14,HELPER_SUBJECTS!$J$13:$J$14),"")</f>
        <v/>
      </c>
      <c r="X53" s="351"/>
      <c r="Y53" s="352"/>
      <c r="AA53" s="227"/>
      <c r="AB53" s="34"/>
      <c r="AC53" s="216" t="str">
        <f>IF(B53="ACADEMIC",HELPER_SUBJECTS!$U$4,IF(B53="TECHPRO",HELPER_SUBJECTS!$V$4,""))</f>
        <v/>
      </c>
      <c r="AD53" s="191">
        <f>_xlfn.IFNA(_xlfn.XLOOKUP(D53,HELPER_SUBJECTS!D:D,HELPER_SUBJECTS!F:F),0)</f>
        <v>0</v>
      </c>
      <c r="AE53" s="191">
        <f>_xlfn.IFNA(IF(D53&lt;&gt;"",_xlfn.XLOOKUP(D53,ANNEX!$F$52:$F$61,ANNEX!$H$52:$H$61),0),0)</f>
        <v>0</v>
      </c>
      <c r="AF53" s="196">
        <f t="shared" si="10"/>
        <v>0</v>
      </c>
    </row>
    <row r="54" spans="1:32" s="13" customFormat="1" ht="4.9000000000000004" customHeight="1">
      <c r="Z54" s="22"/>
      <c r="AA54" s="227"/>
      <c r="AB54" s="34"/>
      <c r="AC54" s="216" t="str">
        <f>IF(B54="ACADEMIC",HELPER_SUBJECTS!$U$4,IF(B54="TECHPRO",HELPER_SUBJECTS!$V$4,""))</f>
        <v/>
      </c>
      <c r="AD54" s="216"/>
    </row>
    <row r="55" spans="1:32" s="34" customFormat="1" ht="10.15" customHeight="1">
      <c r="A55" s="139" t="s">
        <v>69</v>
      </c>
      <c r="B55" s="19"/>
      <c r="C55" s="392"/>
      <c r="D55" s="392"/>
      <c r="E55" s="392"/>
      <c r="F55" s="392"/>
      <c r="G55" s="392"/>
      <c r="H55" s="392"/>
      <c r="I55" s="392"/>
      <c r="J55" s="392"/>
      <c r="K55" s="392"/>
      <c r="L55" s="392"/>
      <c r="M55" s="392"/>
      <c r="N55" s="392"/>
      <c r="O55" s="392"/>
      <c r="P55" s="392"/>
      <c r="Q55" s="392"/>
      <c r="R55" s="392"/>
      <c r="S55" s="392"/>
      <c r="T55" s="392"/>
      <c r="U55" s="392"/>
      <c r="V55" s="392"/>
      <c r="W55" s="392"/>
      <c r="X55" s="392"/>
      <c r="Y55" s="392"/>
      <c r="AA55" s="227"/>
      <c r="AB55" s="2"/>
      <c r="AC55" s="216"/>
      <c r="AD55" s="100"/>
    </row>
    <row r="56" spans="1:32" s="34" customFormat="1" ht="4.9000000000000004"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AA56" s="227"/>
      <c r="AB56" s="22"/>
      <c r="AC56" s="216"/>
      <c r="AD56" s="100"/>
    </row>
    <row r="57" spans="1:32" s="34" customFormat="1" ht="13.9">
      <c r="A57" s="139" t="s">
        <v>70</v>
      </c>
      <c r="B57" s="19"/>
      <c r="C57" s="19"/>
      <c r="D57" s="19"/>
      <c r="E57" s="19"/>
      <c r="F57" s="19"/>
      <c r="G57" s="19"/>
      <c r="H57" s="19"/>
      <c r="I57" s="19"/>
      <c r="J57" s="19"/>
      <c r="K57" s="19"/>
      <c r="L57" s="143" t="s">
        <v>71</v>
      </c>
      <c r="M57" s="17"/>
      <c r="N57" s="17"/>
      <c r="O57" s="19"/>
      <c r="P57" s="19"/>
      <c r="Q57" s="19"/>
      <c r="R57" s="19"/>
      <c r="S57" s="19"/>
      <c r="T57" s="19"/>
      <c r="U57" s="19"/>
      <c r="V57" s="19"/>
      <c r="W57" s="144" t="s">
        <v>72</v>
      </c>
      <c r="X57" s="21"/>
      <c r="Y57" s="21"/>
      <c r="AA57" s="227"/>
      <c r="AB57" s="19"/>
      <c r="AC57" s="216"/>
      <c r="AD57" s="100"/>
    </row>
    <row r="58" spans="1:32" s="34" customFormat="1">
      <c r="A58" s="393"/>
      <c r="B58" s="393"/>
      <c r="C58" s="393"/>
      <c r="D58" s="393"/>
      <c r="E58" s="393"/>
      <c r="F58" s="393"/>
      <c r="G58" s="393"/>
      <c r="H58" s="393"/>
      <c r="I58" s="393"/>
      <c r="J58" s="393"/>
      <c r="K58" s="19"/>
      <c r="L58" s="393"/>
      <c r="M58" s="393"/>
      <c r="N58" s="393"/>
      <c r="O58" s="393"/>
      <c r="P58" s="393"/>
      <c r="Q58" s="393"/>
      <c r="R58" s="393"/>
      <c r="S58" s="393"/>
      <c r="T58" s="393"/>
      <c r="U58" s="393"/>
      <c r="V58" s="19"/>
      <c r="W58" s="394"/>
      <c r="X58" s="394"/>
      <c r="Y58" s="394"/>
      <c r="AA58" s="227"/>
      <c r="AC58" s="216"/>
      <c r="AD58" s="100"/>
    </row>
    <row r="59" spans="1:32" s="158" customFormat="1" ht="12" thickBot="1">
      <c r="A59" s="155" t="s">
        <v>73</v>
      </c>
      <c r="B59" s="47"/>
      <c r="C59" s="47"/>
      <c r="D59" s="47"/>
      <c r="E59" s="47"/>
      <c r="F59" s="47"/>
      <c r="G59" s="47"/>
      <c r="H59" s="47"/>
      <c r="I59" s="47"/>
      <c r="J59" s="47"/>
      <c r="K59" s="48"/>
      <c r="L59" s="155" t="s">
        <v>74</v>
      </c>
      <c r="M59" s="156"/>
      <c r="N59" s="156"/>
      <c r="O59" s="47"/>
      <c r="P59" s="47"/>
      <c r="Q59" s="47"/>
      <c r="R59" s="47"/>
      <c r="S59" s="47"/>
      <c r="T59" s="47"/>
      <c r="U59" s="47"/>
      <c r="V59" s="48"/>
      <c r="W59" s="299" t="s">
        <v>14</v>
      </c>
      <c r="X59" s="299"/>
      <c r="Y59" s="299"/>
      <c r="Z59" s="2"/>
      <c r="AA59" s="227"/>
      <c r="AB59" s="34"/>
      <c r="AC59" s="216"/>
      <c r="AD59" s="100"/>
    </row>
    <row r="60" spans="1:32" s="38" customFormat="1" ht="4.9000000000000004" customHeight="1">
      <c r="A60" s="37"/>
      <c r="B60" s="36"/>
      <c r="C60" s="37"/>
      <c r="D60" s="37"/>
      <c r="E60" s="37"/>
      <c r="F60" s="37"/>
      <c r="G60" s="37"/>
      <c r="H60" s="37"/>
      <c r="I60" s="37"/>
      <c r="J60" s="37"/>
      <c r="K60" s="37"/>
      <c r="L60" s="37"/>
      <c r="M60" s="37"/>
      <c r="N60" s="37"/>
      <c r="O60" s="37"/>
      <c r="P60" s="37"/>
      <c r="Q60" s="37"/>
      <c r="R60" s="37"/>
      <c r="S60" s="37"/>
      <c r="T60" s="37"/>
      <c r="U60" s="37"/>
      <c r="V60" s="37"/>
      <c r="W60" s="37"/>
      <c r="X60" s="37"/>
      <c r="Y60" s="37"/>
      <c r="Z60" s="22"/>
      <c r="AA60" s="227"/>
      <c r="AB60" s="34"/>
      <c r="AC60" s="216"/>
      <c r="AD60" s="100"/>
    </row>
    <row r="61" spans="1:32" s="19" customFormat="1">
      <c r="A61" s="102" t="s">
        <v>75</v>
      </c>
      <c r="B61" s="18"/>
      <c r="C61" s="17"/>
      <c r="D61" s="17"/>
      <c r="E61" s="17"/>
      <c r="F61" s="17"/>
      <c r="G61" s="146" t="s">
        <v>76</v>
      </c>
      <c r="H61" s="232"/>
      <c r="I61" s="232"/>
      <c r="J61" s="232"/>
      <c r="K61" s="145" t="s">
        <v>77</v>
      </c>
      <c r="L61" s="232"/>
      <c r="M61" s="232"/>
      <c r="N61" s="232"/>
      <c r="O61" s="17"/>
      <c r="P61" s="146" t="s">
        <v>78</v>
      </c>
      <c r="Q61" s="389"/>
      <c r="R61" s="389"/>
      <c r="S61" s="389"/>
      <c r="T61" s="389"/>
      <c r="U61" s="389"/>
      <c r="V61" s="32"/>
      <c r="W61" s="146" t="s">
        <v>79</v>
      </c>
      <c r="X61" s="389"/>
      <c r="Y61" s="389"/>
      <c r="AA61" s="227"/>
      <c r="AB61" s="34"/>
      <c r="AC61" s="216"/>
      <c r="AD61" s="100"/>
    </row>
    <row r="62" spans="1:32" s="34" customFormat="1" ht="11.45">
      <c r="B62" s="35"/>
      <c r="E62" s="159"/>
      <c r="F62" s="38"/>
      <c r="G62" s="38"/>
      <c r="H62" s="360" t="s">
        <v>14</v>
      </c>
      <c r="I62" s="360"/>
      <c r="J62" s="360"/>
      <c r="K62" s="38"/>
      <c r="L62" s="360" t="s">
        <v>14</v>
      </c>
      <c r="M62" s="360"/>
      <c r="N62" s="360"/>
      <c r="O62" s="38"/>
      <c r="AA62" s="227"/>
      <c r="AC62" s="216"/>
      <c r="AD62" s="100"/>
    </row>
    <row r="63" spans="1:32" s="34" customFormat="1" ht="10.15" customHeight="1">
      <c r="A63" s="296" t="s">
        <v>43</v>
      </c>
      <c r="B63" s="296"/>
      <c r="C63" s="296"/>
      <c r="D63" s="296" t="s">
        <v>44</v>
      </c>
      <c r="E63" s="296"/>
      <c r="F63" s="296"/>
      <c r="G63" s="296"/>
      <c r="H63" s="296"/>
      <c r="I63" s="296"/>
      <c r="J63" s="296"/>
      <c r="K63" s="296"/>
      <c r="L63" s="296"/>
      <c r="M63" s="296"/>
      <c r="N63" s="296"/>
      <c r="O63" s="296"/>
      <c r="P63" s="296"/>
      <c r="Q63" s="296"/>
      <c r="R63" s="365" t="s">
        <v>80</v>
      </c>
      <c r="S63" s="367" t="s">
        <v>81</v>
      </c>
      <c r="T63" s="369" t="s">
        <v>82</v>
      </c>
      <c r="U63" s="359" t="s">
        <v>49</v>
      </c>
      <c r="V63" s="359"/>
      <c r="W63" s="311" t="s">
        <v>47</v>
      </c>
      <c r="X63" s="311"/>
      <c r="Y63" s="311"/>
      <c r="AA63" s="227"/>
      <c r="AC63" s="216"/>
      <c r="AD63" s="100"/>
    </row>
    <row r="64" spans="1:32" s="34" customFormat="1" ht="12" customHeight="1">
      <c r="A64" s="297" t="s">
        <v>99</v>
      </c>
      <c r="B64" s="297"/>
      <c r="C64" s="297"/>
      <c r="D64" s="297" t="s">
        <v>51</v>
      </c>
      <c r="E64" s="297"/>
      <c r="F64" s="297"/>
      <c r="G64" s="297"/>
      <c r="H64" s="297"/>
      <c r="I64" s="297"/>
      <c r="J64" s="297"/>
      <c r="K64" s="297"/>
      <c r="L64" s="297"/>
      <c r="M64" s="297"/>
      <c r="N64" s="297"/>
      <c r="O64" s="297"/>
      <c r="P64" s="297"/>
      <c r="Q64" s="297"/>
      <c r="R64" s="366"/>
      <c r="S64" s="368"/>
      <c r="T64" s="370"/>
      <c r="U64" s="359"/>
      <c r="V64" s="359"/>
      <c r="W64" s="311"/>
      <c r="X64" s="311"/>
      <c r="Y64" s="311"/>
      <c r="AA64" s="227"/>
      <c r="AC64" s="216" t="s">
        <v>100</v>
      </c>
      <c r="AD64" s="100"/>
    </row>
    <row r="65" spans="1:32" s="34" customFormat="1" ht="10.15" customHeight="1">
      <c r="A65" s="45">
        <v>1</v>
      </c>
      <c r="B65" s="345"/>
      <c r="C65" s="345"/>
      <c r="D65" s="353"/>
      <c r="E65" s="353"/>
      <c r="F65" s="353"/>
      <c r="G65" s="353"/>
      <c r="H65" s="353"/>
      <c r="I65" s="353"/>
      <c r="J65" s="353"/>
      <c r="K65" s="353"/>
      <c r="L65" s="353"/>
      <c r="M65" s="353"/>
      <c r="N65" s="353"/>
      <c r="O65" s="353"/>
      <c r="P65" s="353"/>
      <c r="Q65" s="353"/>
      <c r="R65" s="84"/>
      <c r="S65" s="84"/>
      <c r="T65" s="53" t="str">
        <f>IF(OR(R65="",S65=""),"",IF(ISERROR(ROUND(AVERAGE(R65,S65),0)),"",ROUND(AVERAGE(R65,S65),0)))</f>
        <v/>
      </c>
      <c r="U65" s="396" t="str">
        <f>IF(T65&lt;&gt;"",IF(T65&lt;75,"FAILED","PASSED"),"")</f>
        <v/>
      </c>
      <c r="V65" s="396"/>
      <c r="W65" s="397"/>
      <c r="X65" s="397"/>
      <c r="Y65" s="397"/>
      <c r="AA65" s="227"/>
      <c r="AB65" s="37"/>
      <c r="AC65" s="216" t="str">
        <f>IF(B65="ACADEMIC",HELPER_SUBJECTS!$U$4,IF(B65="TECHPRO",HELPER_SUBJECTS!$V$4,""))</f>
        <v/>
      </c>
      <c r="AD65" s="216">
        <f>_xlfn.XLOOKUP(D65,HELPER_SUBJECTS!D:D,HELPER_SUBJECTS!G:G)</f>
        <v>0</v>
      </c>
    </row>
    <row r="66" spans="1:32" s="34" customFormat="1" ht="10.15" customHeight="1">
      <c r="A66" s="46">
        <v>2</v>
      </c>
      <c r="B66" s="240"/>
      <c r="C66" s="240"/>
      <c r="D66" s="288"/>
      <c r="E66" s="288"/>
      <c r="F66" s="288"/>
      <c r="G66" s="288"/>
      <c r="H66" s="288"/>
      <c r="I66" s="288"/>
      <c r="J66" s="288"/>
      <c r="K66" s="288"/>
      <c r="L66" s="288"/>
      <c r="M66" s="288"/>
      <c r="N66" s="288"/>
      <c r="O66" s="288"/>
      <c r="P66" s="288"/>
      <c r="Q66" s="288"/>
      <c r="R66" s="80"/>
      <c r="S66" s="80"/>
      <c r="T66" s="54" t="str">
        <f t="shared" ref="T66:T68" si="15">IF(OR(R66="",S66=""),"",IF(ISERROR(ROUND(AVERAGE(R66,S66),0)),"",ROUND(AVERAGE(R66,S66),0)))</f>
        <v/>
      </c>
      <c r="U66" s="347" t="str">
        <f t="shared" ref="U66:U68" si="16">IF(T66&lt;&gt;"",IF(T66&lt;75,"FAILED","PASSED"),"")</f>
        <v/>
      </c>
      <c r="V66" s="347"/>
      <c r="W66" s="412"/>
      <c r="X66" s="412"/>
      <c r="Y66" s="412"/>
      <c r="AA66" s="227"/>
      <c r="AB66" s="19"/>
      <c r="AC66" s="216" t="str">
        <f>IF(B66="ACADEMIC",HELPER_SUBJECTS!$U$4,IF(B66="TECHPRO",HELPER_SUBJECTS!$V$4,""))</f>
        <v/>
      </c>
      <c r="AD66" s="216">
        <f>_xlfn.XLOOKUP(D66,HELPER_SUBJECTS!D:D,HELPER_SUBJECTS!G:G)</f>
        <v>0</v>
      </c>
    </row>
    <row r="67" spans="1:32" s="34" customFormat="1" ht="10.15" customHeight="1">
      <c r="A67" s="46">
        <v>3</v>
      </c>
      <c r="B67" s="240"/>
      <c r="C67" s="240"/>
      <c r="D67" s="288"/>
      <c r="E67" s="288"/>
      <c r="F67" s="288"/>
      <c r="G67" s="288"/>
      <c r="H67" s="288"/>
      <c r="I67" s="288"/>
      <c r="J67" s="288"/>
      <c r="K67" s="288"/>
      <c r="L67" s="288"/>
      <c r="M67" s="288"/>
      <c r="N67" s="288"/>
      <c r="O67" s="288"/>
      <c r="P67" s="288"/>
      <c r="Q67" s="288"/>
      <c r="R67" s="80"/>
      <c r="S67" s="80"/>
      <c r="T67" s="54" t="str">
        <f t="shared" si="15"/>
        <v/>
      </c>
      <c r="U67" s="347" t="str">
        <f t="shared" si="16"/>
        <v/>
      </c>
      <c r="V67" s="347"/>
      <c r="W67" s="412"/>
      <c r="X67" s="412"/>
      <c r="Y67" s="412"/>
      <c r="AA67" s="227"/>
      <c r="AC67" s="216" t="str">
        <f>IF(B67="ACADEMIC",HELPER_SUBJECTS!$U$4,IF(B67="TECHPRO",HELPER_SUBJECTS!$V$4,""))</f>
        <v/>
      </c>
      <c r="AD67" s="216">
        <f>_xlfn.XLOOKUP(D67,HELPER_SUBJECTS!D:D,HELPER_SUBJECTS!G:G)</f>
        <v>0</v>
      </c>
    </row>
    <row r="68" spans="1:32" s="34" customFormat="1" ht="10.15" customHeight="1">
      <c r="A68" s="49">
        <v>4</v>
      </c>
      <c r="B68" s="348"/>
      <c r="C68" s="348"/>
      <c r="D68" s="310"/>
      <c r="E68" s="310"/>
      <c r="F68" s="310"/>
      <c r="G68" s="310"/>
      <c r="H68" s="310"/>
      <c r="I68" s="310"/>
      <c r="J68" s="310"/>
      <c r="K68" s="310"/>
      <c r="L68" s="310"/>
      <c r="M68" s="310"/>
      <c r="N68" s="310"/>
      <c r="O68" s="310"/>
      <c r="P68" s="310"/>
      <c r="Q68" s="310"/>
      <c r="R68" s="81"/>
      <c r="S68" s="81"/>
      <c r="T68" s="55" t="str">
        <f t="shared" si="15"/>
        <v/>
      </c>
      <c r="U68" s="349" t="str">
        <f t="shared" si="16"/>
        <v/>
      </c>
      <c r="V68" s="349"/>
      <c r="W68" s="411"/>
      <c r="X68" s="411"/>
      <c r="Y68" s="411"/>
      <c r="AA68" s="227"/>
      <c r="AB68" s="22"/>
      <c r="AC68" s="216" t="str">
        <f>IF(B68="ACADEMIC",HELPER_SUBJECTS!$U$4,IF(B68="TECHPRO",HELPER_SUBJECTS!$V$4,""))</f>
        <v/>
      </c>
      <c r="AD68" s="216">
        <f>_xlfn.XLOOKUP(D68,HELPER_SUBJECTS!D:D,HELPER_SUBJECTS!G:G)</f>
        <v>0</v>
      </c>
    </row>
    <row r="69" spans="1:32" s="37" customFormat="1" ht="4.9000000000000004" customHeight="1">
      <c r="B69" s="36"/>
      <c r="AA69" s="19"/>
      <c r="AB69" s="19"/>
      <c r="AC69" s="216"/>
      <c r="AD69" s="100"/>
    </row>
    <row r="70" spans="1:32" s="19" customFormat="1">
      <c r="A70" s="144" t="s">
        <v>83</v>
      </c>
      <c r="B70" s="21"/>
      <c r="D70" s="260"/>
      <c r="E70" s="260"/>
      <c r="F70" s="260"/>
      <c r="G70" s="260"/>
      <c r="H70" s="260"/>
      <c r="I70" s="260"/>
      <c r="J70" s="260"/>
      <c r="K70" s="260"/>
      <c r="L70" s="260"/>
      <c r="M70" s="260"/>
      <c r="N70" s="260"/>
      <c r="O70" s="260"/>
      <c r="P70" s="260"/>
      <c r="Q70" s="260"/>
      <c r="S70" s="146" t="s">
        <v>85</v>
      </c>
      <c r="T70" s="292"/>
      <c r="U70" s="292"/>
      <c r="V70" s="292"/>
      <c r="W70" s="292"/>
      <c r="X70" s="292"/>
      <c r="Y70" s="292"/>
      <c r="AC70" s="216"/>
      <c r="AD70" s="100"/>
    </row>
    <row r="71" spans="1:32" s="34" customFormat="1" ht="4.9000000000000004" customHeight="1">
      <c r="A71" s="31"/>
      <c r="B71" s="35"/>
      <c r="E71" s="35"/>
      <c r="F71" s="35"/>
      <c r="G71" s="35"/>
      <c r="H71" s="35"/>
      <c r="I71" s="35"/>
      <c r="J71" s="35"/>
      <c r="K71" s="35"/>
      <c r="L71" s="35"/>
      <c r="M71" s="35"/>
      <c r="N71" s="35"/>
      <c r="O71" s="35"/>
      <c r="P71" s="35"/>
      <c r="Q71" s="35"/>
      <c r="R71" s="160"/>
      <c r="T71" s="58"/>
      <c r="U71" s="58"/>
      <c r="V71" s="58"/>
      <c r="W71" s="58"/>
      <c r="X71" s="58"/>
      <c r="Y71" s="58"/>
      <c r="AA71" s="22"/>
      <c r="AB71" s="22"/>
      <c r="AC71" s="216"/>
      <c r="AD71" s="100"/>
    </row>
    <row r="72" spans="1:32" s="13" customFormat="1" ht="5.0999999999999996" customHeight="1" thickBot="1">
      <c r="A72" s="169"/>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1"/>
      <c r="Z72" s="22"/>
      <c r="AA72" s="34"/>
      <c r="AB72" s="34"/>
      <c r="AC72" s="216"/>
      <c r="AD72" s="100"/>
    </row>
    <row r="73" spans="1:32" s="13" customFormat="1">
      <c r="A73" s="415" t="s">
        <v>101</v>
      </c>
      <c r="B73" s="415"/>
      <c r="C73" s="415"/>
      <c r="D73" s="415"/>
      <c r="E73" s="415"/>
      <c r="F73" s="415"/>
      <c r="G73" s="415"/>
      <c r="H73" s="415"/>
      <c r="I73" s="415"/>
      <c r="J73" s="415"/>
      <c r="K73" s="415"/>
      <c r="L73" s="415"/>
      <c r="M73" s="415"/>
      <c r="N73" s="415"/>
      <c r="O73" s="415"/>
      <c r="P73" s="415"/>
      <c r="Q73" s="415"/>
      <c r="R73" s="415"/>
      <c r="S73" s="415"/>
      <c r="T73" s="415"/>
      <c r="U73" s="415"/>
      <c r="V73" s="415"/>
      <c r="W73" s="415"/>
      <c r="X73" s="415"/>
      <c r="Y73" s="415"/>
      <c r="Z73" s="22"/>
      <c r="AA73" s="34"/>
      <c r="AB73" s="34"/>
      <c r="AC73" s="216"/>
      <c r="AD73" s="100"/>
    </row>
    <row r="74" spans="1:32" s="38" customFormat="1" ht="10.9" customHeight="1">
      <c r="A74" s="413" t="s">
        <v>43</v>
      </c>
      <c r="B74" s="413"/>
      <c r="C74" s="413"/>
      <c r="D74" s="420" t="s">
        <v>44</v>
      </c>
      <c r="E74" s="421"/>
      <c r="F74" s="421"/>
      <c r="G74" s="421"/>
      <c r="H74" s="421"/>
      <c r="I74" s="421"/>
      <c r="J74" s="421"/>
      <c r="K74" s="421"/>
      <c r="L74" s="421"/>
      <c r="M74" s="421"/>
      <c r="N74" s="421"/>
      <c r="O74" s="421"/>
      <c r="P74" s="422"/>
      <c r="Q74" s="261" t="s">
        <v>45</v>
      </c>
      <c r="R74" s="261"/>
      <c r="S74" s="261"/>
      <c r="T74" s="261"/>
      <c r="U74" s="416" t="s">
        <v>92</v>
      </c>
      <c r="V74" s="416"/>
      <c r="W74" s="261" t="s">
        <v>93</v>
      </c>
      <c r="X74" s="261"/>
      <c r="Y74" s="261"/>
      <c r="Z74" s="22"/>
      <c r="AA74" s="34"/>
      <c r="AB74" s="34"/>
      <c r="AC74" s="216"/>
      <c r="AD74" s="100"/>
    </row>
    <row r="75" spans="1:32" s="38" customFormat="1" ht="10.9" customHeight="1">
      <c r="A75" s="414"/>
      <c r="B75" s="414"/>
      <c r="C75" s="414"/>
      <c r="D75" s="423"/>
      <c r="E75" s="424"/>
      <c r="F75" s="424"/>
      <c r="G75" s="424"/>
      <c r="H75" s="424"/>
      <c r="I75" s="424"/>
      <c r="J75" s="424"/>
      <c r="K75" s="424"/>
      <c r="L75" s="424"/>
      <c r="M75" s="424"/>
      <c r="N75" s="424"/>
      <c r="O75" s="424"/>
      <c r="P75" s="425"/>
      <c r="Q75" s="261" t="s">
        <v>52</v>
      </c>
      <c r="R75" s="261" t="s">
        <v>53</v>
      </c>
      <c r="S75" s="261" t="s">
        <v>89</v>
      </c>
      <c r="T75" s="261" t="s">
        <v>90</v>
      </c>
      <c r="U75" s="359" t="s">
        <v>82</v>
      </c>
      <c r="V75" s="359"/>
      <c r="W75" s="296" t="s">
        <v>48</v>
      </c>
      <c r="X75" s="296" t="s">
        <v>49</v>
      </c>
      <c r="Y75" s="296"/>
      <c r="Z75" s="22"/>
      <c r="AA75" s="34"/>
      <c r="AB75" s="34"/>
      <c r="AC75" s="154"/>
      <c r="AD75" s="100"/>
    </row>
    <row r="76" spans="1:32" s="38" customFormat="1" ht="10.9" customHeight="1">
      <c r="A76" s="297" t="s">
        <v>50</v>
      </c>
      <c r="B76" s="297"/>
      <c r="C76" s="297"/>
      <c r="D76" s="417" t="s">
        <v>51</v>
      </c>
      <c r="E76" s="418"/>
      <c r="F76" s="418"/>
      <c r="G76" s="418"/>
      <c r="H76" s="418"/>
      <c r="I76" s="418"/>
      <c r="J76" s="418"/>
      <c r="K76" s="418"/>
      <c r="L76" s="418"/>
      <c r="M76" s="418"/>
      <c r="N76" s="418"/>
      <c r="O76" s="418"/>
      <c r="P76" s="419"/>
      <c r="Q76" s="261"/>
      <c r="R76" s="261"/>
      <c r="S76" s="261"/>
      <c r="T76" s="261"/>
      <c r="U76" s="89" t="s">
        <v>94</v>
      </c>
      <c r="V76" s="89" t="s">
        <v>95</v>
      </c>
      <c r="W76" s="426"/>
      <c r="X76" s="426"/>
      <c r="Y76" s="426"/>
      <c r="Z76" s="22"/>
      <c r="AA76" s="34"/>
      <c r="AB76" s="34"/>
      <c r="AC76" s="172"/>
      <c r="AD76" s="190" t="s">
        <v>66</v>
      </c>
      <c r="AE76" s="192" t="s">
        <v>67</v>
      </c>
      <c r="AF76" s="197" t="s">
        <v>68</v>
      </c>
    </row>
    <row r="77" spans="1:32" s="9" customFormat="1" ht="10.15" customHeight="1">
      <c r="A77" s="56">
        <v>1</v>
      </c>
      <c r="B77" s="228" t="str">
        <f t="shared" ref="B77:B88" si="17">IF(D77&lt;&gt;"",_xlfn.XLOOKUP(D77,$D$9:$D$53,$B$9:$B$53),"")</f>
        <v/>
      </c>
      <c r="C77" s="229"/>
      <c r="D77" s="203" t="str" cm="1">
        <f t="array" ref="D77">IFERROR(_xlfn.UNIQUE(_xlfn._xlws.FILTER(_xlfn.HSTACK(_xlfn.VSTACK(D9:D18,D44:D53)), _xlfn.VSTACK(D9:D18,D44:D53)&lt;&gt;"" )),"")</f>
        <v/>
      </c>
      <c r="E77" s="90"/>
      <c r="F77" s="90"/>
      <c r="G77" s="90"/>
      <c r="H77" s="90"/>
      <c r="I77" s="90"/>
      <c r="J77" s="90"/>
      <c r="K77" s="90"/>
      <c r="L77" s="90"/>
      <c r="M77" s="90"/>
      <c r="N77" s="90"/>
      <c r="O77" s="90"/>
      <c r="P77" s="90"/>
      <c r="Q77" s="43" t="str">
        <f>IF($D77&lt;&gt;"",IFERROR(IF(_xlfn.XLOOKUP($D77,$D$9:$D$18,R$9:R$18)&gt;0,_xlfn.XLOOKUP($D77,$D$9:$D$18,R$9:R$18),""),""),"")</f>
        <v/>
      </c>
      <c r="R77" s="43" t="str">
        <f>IF($D77&lt;&gt;"",IFERROR(IF(_xlfn.XLOOKUP($D77,$D$9:$D$18,S$9:S$18)&gt;0,_xlfn.XLOOKUP($D77,$D$9:$D$18,S$9:S$18),""),""),"")</f>
        <v/>
      </c>
      <c r="S77" s="43" t="str">
        <f t="shared" ref="S77:T88" si="18">IF($D77&lt;&gt;"",IFERROR(IF(_xlfn.XLOOKUP($D77,$D$44:$D$53,R$44:R$53)&gt;0,_xlfn.XLOOKUP($D77,$D$44:$D$53,R$44:R$53),""),""),"")</f>
        <v/>
      </c>
      <c r="T77" s="43" t="str">
        <f t="shared" si="18"/>
        <v/>
      </c>
      <c r="U77" s="67" t="str">
        <f>IF($D77&lt;&gt;"",IFERROR(_xlfn.XLOOKUP($D77,$D$30:$D$33,$T$30:$T$33),""),"")</f>
        <v/>
      </c>
      <c r="V77" s="67" t="str">
        <f>IF($D77&lt;&gt;"",IFERROR(_xlfn.XLOOKUP($D77,$D$65:$D$68,$T$65:$T$68),""),"")</f>
        <v/>
      </c>
      <c r="W77" s="214" t="str">
        <f>IFERROR(IF(COUNT(U77:V77)&gt;0,ROUND(
    (SUM(Q77:V77) - SUMIF(Q77:T77,"&lt;75",Q77:T77))
    / COUNTIF(Q77:V77, "&gt;=75"),
0
),
IF(COUNT(Q77:T77)=AF77,ROUND(AVERAGE(Q77:T77),0),"")),"")</f>
        <v/>
      </c>
      <c r="X77" s="286" t="str">
        <f t="shared" ref="X77:X88" si="19">IF(AND(W77&gt;0,W77&lt;&gt;""),IF(W77&lt;75,"FAILED","PASSED"),"")</f>
        <v/>
      </c>
      <c r="Y77" s="287"/>
      <c r="Z77" s="10"/>
      <c r="AA77" s="34"/>
      <c r="AB77" s="34"/>
      <c r="AC77" s="22"/>
      <c r="AD77" s="191">
        <f>_xlfn.IFNA(_xlfn.XLOOKUP(D77,HELPER_SUBJECTS!D:D,HELPER_SUBJECTS!F:F),0)</f>
        <v>0</v>
      </c>
      <c r="AE77" s="191">
        <f>_xlfn.IFNA(IF(D77&lt;&gt;"",_xlfn.XLOOKUP(D77,ANNEX!$F$52:$F$61,ANNEX!$H$52:$H$61),0),0)</f>
        <v>0</v>
      </c>
      <c r="AF77" s="196">
        <f t="shared" ref="AF77:AF82" si="20">IF(AND(AD77&gt;0,AE77=0),AD77,IF(AND(AE77&gt;0,AD77=0),AE77,0))</f>
        <v>0</v>
      </c>
    </row>
    <row r="78" spans="1:32" s="9" customFormat="1" ht="10.15" customHeight="1">
      <c r="A78" s="44">
        <v>2</v>
      </c>
      <c r="B78" s="230" t="str">
        <f t="shared" si="17"/>
        <v/>
      </c>
      <c r="C78" s="231"/>
      <c r="D78" s="204"/>
      <c r="E78" s="69"/>
      <c r="F78" s="69"/>
      <c r="G78" s="69"/>
      <c r="H78" s="69"/>
      <c r="I78" s="69"/>
      <c r="J78" s="69"/>
      <c r="K78" s="69"/>
      <c r="L78" s="69"/>
      <c r="M78" s="69"/>
      <c r="N78" s="69"/>
      <c r="O78" s="69"/>
      <c r="P78" s="69"/>
      <c r="Q78" s="43" t="str">
        <f t="shared" ref="Q78:R78" si="21">IF($D78&lt;&gt;"",IFERROR(IF(_xlfn.XLOOKUP($D78,$D$9:$D$18,R$9:R$18)&gt;0,_xlfn.XLOOKUP($D78,$D$9:$D$18,R$9:R$18),""),""),"")</f>
        <v/>
      </c>
      <c r="R78" s="43" t="str">
        <f t="shared" si="21"/>
        <v/>
      </c>
      <c r="S78" s="43" t="str">
        <f t="shared" si="18"/>
        <v/>
      </c>
      <c r="T78" s="43" t="str">
        <f t="shared" si="18"/>
        <v/>
      </c>
      <c r="U78" s="67" t="str">
        <f t="shared" ref="U78:U88" si="22">IF($D78&lt;&gt;"",IFERROR(_xlfn.XLOOKUP($D78,$D$30:$D$33,$T$30:$T$33),""),"")</f>
        <v/>
      </c>
      <c r="V78" s="67" t="str">
        <f t="shared" ref="V78:V88" si="23">IF($D78&lt;&gt;"",IFERROR(_xlfn.XLOOKUP($D78,$D$65:$D$68,$T$65:$T$68),""),"")</f>
        <v/>
      </c>
      <c r="W78" s="214" t="str">
        <f>IFERROR(IF(COUNT(U78:V78)&gt;0,ROUND( (SUM(Q78:V78) - SUMIF(Q78:T78,"&lt;75",Q78:T78)) / COUNTIF(Q78:V78, "&gt;=75"),0), IF(COUNT(Q78:T78)=AF78,ROUND(AVERAGE(Q78:T78),0),"")),"")</f>
        <v/>
      </c>
      <c r="X78" s="262" t="str">
        <f t="shared" si="19"/>
        <v/>
      </c>
      <c r="Y78" s="263"/>
      <c r="Z78" s="10"/>
      <c r="AA78" s="34"/>
      <c r="AB78" s="34"/>
      <c r="AC78" s="22"/>
      <c r="AD78" s="191">
        <f>_xlfn.IFNA(_xlfn.XLOOKUP(D78,HELPER_SUBJECTS!D:D,HELPER_SUBJECTS!F:F),0)</f>
        <v>0</v>
      </c>
      <c r="AE78" s="191">
        <f>_xlfn.IFNA(IF(D78&lt;&gt;"",_xlfn.XLOOKUP(D78,ANNEX!$F$52:$F$61,ANNEX!$H$52:$H$61),0),0)</f>
        <v>0</v>
      </c>
      <c r="AF78" s="196">
        <f t="shared" si="20"/>
        <v>0</v>
      </c>
    </row>
    <row r="79" spans="1:32" s="9" customFormat="1" ht="10.15" customHeight="1">
      <c r="A79" s="44">
        <v>3</v>
      </c>
      <c r="B79" s="230" t="str">
        <f t="shared" si="17"/>
        <v/>
      </c>
      <c r="C79" s="231"/>
      <c r="D79" s="204"/>
      <c r="E79" s="69"/>
      <c r="F79" s="69"/>
      <c r="G79" s="69"/>
      <c r="H79" s="69"/>
      <c r="I79" s="69"/>
      <c r="J79" s="69"/>
      <c r="K79" s="69"/>
      <c r="L79" s="69"/>
      <c r="M79" s="69"/>
      <c r="N79" s="69"/>
      <c r="O79" s="69"/>
      <c r="P79" s="69"/>
      <c r="Q79" s="43" t="str">
        <f t="shared" ref="Q79:R79" si="24">IF($D79&lt;&gt;"",IFERROR(IF(_xlfn.XLOOKUP($D79,$D$9:$D$18,R$9:R$18)&gt;0,_xlfn.XLOOKUP($D79,$D$9:$D$18,R$9:R$18),""),""),"")</f>
        <v/>
      </c>
      <c r="R79" s="43" t="str">
        <f t="shared" si="24"/>
        <v/>
      </c>
      <c r="S79" s="43" t="str">
        <f t="shared" si="18"/>
        <v/>
      </c>
      <c r="T79" s="43" t="str">
        <f t="shared" si="18"/>
        <v/>
      </c>
      <c r="U79" s="67" t="str">
        <f t="shared" si="22"/>
        <v/>
      </c>
      <c r="V79" s="67" t="str">
        <f t="shared" si="23"/>
        <v/>
      </c>
      <c r="W79" s="214" t="str">
        <f t="shared" ref="W79:W88" si="25">IFERROR(IF(COUNT(U79:V79)&gt;0,ROUND(
    (SUM(Q79:V79) - SUMIF(Q79:T79,"&lt;75",Q79:T79))
    / COUNTIF(Q79:V79, "&gt;=75"),
0
),
IF(COUNT(Q79:T79)=AF79,ROUND(AVERAGE(Q79:T79),0),"")),"")</f>
        <v/>
      </c>
      <c r="X79" s="262" t="str">
        <f t="shared" si="19"/>
        <v/>
      </c>
      <c r="Y79" s="263"/>
      <c r="Z79" s="10"/>
      <c r="AA79" s="34"/>
      <c r="AB79" s="34"/>
      <c r="AC79" s="22"/>
      <c r="AD79" s="191">
        <f>_xlfn.IFNA(_xlfn.XLOOKUP(D79,HELPER_SUBJECTS!D:D,HELPER_SUBJECTS!F:F),0)</f>
        <v>0</v>
      </c>
      <c r="AE79" s="191">
        <f>_xlfn.IFNA(IF(D79&lt;&gt;"",_xlfn.XLOOKUP(D79,ANNEX!$F$52:$F$61,ANNEX!$H$52:$H$61),0),0)</f>
        <v>0</v>
      </c>
      <c r="AF79" s="196">
        <f t="shared" si="20"/>
        <v>0</v>
      </c>
    </row>
    <row r="80" spans="1:32" s="9" customFormat="1" ht="10.15" customHeight="1">
      <c r="A80" s="44">
        <v>4</v>
      </c>
      <c r="B80" s="230" t="str">
        <f t="shared" si="17"/>
        <v/>
      </c>
      <c r="C80" s="231"/>
      <c r="D80" s="204"/>
      <c r="E80" s="69"/>
      <c r="F80" s="69"/>
      <c r="G80" s="69"/>
      <c r="H80" s="69"/>
      <c r="I80" s="69"/>
      <c r="J80" s="69"/>
      <c r="K80" s="69"/>
      <c r="L80" s="69"/>
      <c r="M80" s="69"/>
      <c r="N80" s="69"/>
      <c r="O80" s="69"/>
      <c r="P80" s="69"/>
      <c r="Q80" s="43" t="str">
        <f t="shared" ref="Q80:R80" si="26">IF($D80&lt;&gt;"",IFERROR(IF(_xlfn.XLOOKUP($D80,$D$9:$D$18,R$9:R$18)&gt;0,_xlfn.XLOOKUP($D80,$D$9:$D$18,R$9:R$18),""),""),"")</f>
        <v/>
      </c>
      <c r="R80" s="43" t="str">
        <f t="shared" si="26"/>
        <v/>
      </c>
      <c r="S80" s="43" t="str">
        <f t="shared" si="18"/>
        <v/>
      </c>
      <c r="T80" s="43" t="str">
        <f t="shared" si="18"/>
        <v/>
      </c>
      <c r="U80" s="67" t="str">
        <f t="shared" si="22"/>
        <v/>
      </c>
      <c r="V80" s="67" t="str">
        <f t="shared" si="23"/>
        <v/>
      </c>
      <c r="W80" s="214" t="str">
        <f t="shared" si="25"/>
        <v/>
      </c>
      <c r="X80" s="262" t="str">
        <f t="shared" si="19"/>
        <v/>
      </c>
      <c r="Y80" s="263"/>
      <c r="Z80" s="10"/>
      <c r="AA80" s="34"/>
      <c r="AB80" s="34"/>
      <c r="AC80" s="22"/>
      <c r="AD80" s="191">
        <f>_xlfn.IFNA(_xlfn.XLOOKUP(D80,HELPER_SUBJECTS!D:D,HELPER_SUBJECTS!F:F),0)</f>
        <v>0</v>
      </c>
      <c r="AE80" s="191">
        <f>_xlfn.IFNA(IF(D80&lt;&gt;"",_xlfn.XLOOKUP(D80,ANNEX!$F$52:$F$61,ANNEX!$H$52:$H$61),0),0)</f>
        <v>0</v>
      </c>
      <c r="AF80" s="196">
        <f t="shared" si="20"/>
        <v>0</v>
      </c>
    </row>
    <row r="81" spans="1:32" s="9" customFormat="1" ht="10.15" customHeight="1">
      <c r="A81" s="44">
        <v>5</v>
      </c>
      <c r="B81" s="230" t="str">
        <f t="shared" si="17"/>
        <v/>
      </c>
      <c r="C81" s="231"/>
      <c r="D81" s="204"/>
      <c r="E81" s="69"/>
      <c r="F81" s="69"/>
      <c r="G81" s="69"/>
      <c r="H81" s="69"/>
      <c r="I81" s="69"/>
      <c r="J81" s="69"/>
      <c r="K81" s="69"/>
      <c r="L81" s="69"/>
      <c r="M81" s="69"/>
      <c r="N81" s="69"/>
      <c r="O81" s="69"/>
      <c r="P81" s="69"/>
      <c r="Q81" s="43" t="str">
        <f t="shared" ref="Q81:R81" si="27">IF($D81&lt;&gt;"",IFERROR(IF(_xlfn.XLOOKUP($D81,$D$9:$D$18,R$9:R$18)&gt;0,_xlfn.XLOOKUP($D81,$D$9:$D$18,R$9:R$18),""),""),"")</f>
        <v/>
      </c>
      <c r="R81" s="43" t="str">
        <f t="shared" si="27"/>
        <v/>
      </c>
      <c r="S81" s="43" t="str">
        <f t="shared" si="18"/>
        <v/>
      </c>
      <c r="T81" s="43" t="str">
        <f t="shared" si="18"/>
        <v/>
      </c>
      <c r="U81" s="67" t="str">
        <f t="shared" si="22"/>
        <v/>
      </c>
      <c r="V81" s="67" t="str">
        <f t="shared" si="23"/>
        <v/>
      </c>
      <c r="W81" s="214" t="str">
        <f t="shared" si="25"/>
        <v/>
      </c>
      <c r="X81" s="262" t="str">
        <f t="shared" si="19"/>
        <v/>
      </c>
      <c r="Y81" s="263"/>
      <c r="Z81" s="10"/>
      <c r="AA81" s="34"/>
      <c r="AB81" s="34"/>
      <c r="AC81" s="22"/>
      <c r="AD81" s="191">
        <f>_xlfn.IFNA(_xlfn.XLOOKUP(D81,HELPER_SUBJECTS!D:D,HELPER_SUBJECTS!F:F),0)</f>
        <v>0</v>
      </c>
      <c r="AE81" s="191">
        <f>_xlfn.IFNA(IF(D81&lt;&gt;"",_xlfn.XLOOKUP(D81,ANNEX!$F$52:$F$61,ANNEX!$H$52:$H$61),0),0)</f>
        <v>0</v>
      </c>
      <c r="AF81" s="196">
        <f t="shared" si="20"/>
        <v>0</v>
      </c>
    </row>
    <row r="82" spans="1:32" s="9" customFormat="1" ht="10.15" customHeight="1">
      <c r="A82" s="44">
        <v>6</v>
      </c>
      <c r="B82" s="230" t="str">
        <f t="shared" si="17"/>
        <v/>
      </c>
      <c r="C82" s="231"/>
      <c r="D82" s="204"/>
      <c r="E82" s="69"/>
      <c r="F82" s="69"/>
      <c r="G82" s="69"/>
      <c r="H82" s="69"/>
      <c r="I82" s="69"/>
      <c r="J82" s="69"/>
      <c r="K82" s="69"/>
      <c r="L82" s="69"/>
      <c r="M82" s="69"/>
      <c r="N82" s="69"/>
      <c r="O82" s="69"/>
      <c r="P82" s="69"/>
      <c r="Q82" s="43" t="str">
        <f t="shared" ref="Q82:R82" si="28">IF($D82&lt;&gt;"",IFERROR(IF(_xlfn.XLOOKUP($D82,$D$9:$D$18,R$9:R$18)&gt;0,_xlfn.XLOOKUP($D82,$D$9:$D$18,R$9:R$18),""),""),"")</f>
        <v/>
      </c>
      <c r="R82" s="43" t="str">
        <f t="shared" si="28"/>
        <v/>
      </c>
      <c r="S82" s="43" t="str">
        <f t="shared" si="18"/>
        <v/>
      </c>
      <c r="T82" s="43" t="str">
        <f t="shared" si="18"/>
        <v/>
      </c>
      <c r="U82" s="67" t="str">
        <f t="shared" si="22"/>
        <v/>
      </c>
      <c r="V82" s="67" t="str">
        <f t="shared" si="23"/>
        <v/>
      </c>
      <c r="W82" s="214" t="str">
        <f t="shared" si="25"/>
        <v/>
      </c>
      <c r="X82" s="262" t="str">
        <f t="shared" si="19"/>
        <v/>
      </c>
      <c r="Y82" s="263"/>
      <c r="Z82" s="10"/>
      <c r="AA82" s="34"/>
      <c r="AB82" s="34"/>
      <c r="AC82" s="22"/>
      <c r="AD82" s="191">
        <f>_xlfn.IFNA(_xlfn.XLOOKUP(D82,HELPER_SUBJECTS!D:D,HELPER_SUBJECTS!F:F),0)</f>
        <v>0</v>
      </c>
      <c r="AE82" s="191">
        <f>_xlfn.IFNA(IF(D82&lt;&gt;"",_xlfn.XLOOKUP(D82,ANNEX!$F$52:$F$61,ANNEX!$H$52:$H$61),0),0)</f>
        <v>0</v>
      </c>
      <c r="AF82" s="196">
        <f t="shared" si="20"/>
        <v>0</v>
      </c>
    </row>
    <row r="83" spans="1:32" s="9" customFormat="1" ht="10.15" customHeight="1">
      <c r="A83" s="44">
        <v>7</v>
      </c>
      <c r="B83" s="230" t="str">
        <f t="shared" si="17"/>
        <v/>
      </c>
      <c r="C83" s="231"/>
      <c r="D83" s="204"/>
      <c r="E83" s="69"/>
      <c r="F83" s="69"/>
      <c r="G83" s="69"/>
      <c r="H83" s="69"/>
      <c r="I83" s="69"/>
      <c r="J83" s="69"/>
      <c r="K83" s="69"/>
      <c r="L83" s="69"/>
      <c r="M83" s="69"/>
      <c r="N83" s="69"/>
      <c r="O83" s="69"/>
      <c r="P83" s="69"/>
      <c r="Q83" s="43" t="str">
        <f t="shared" ref="Q83:R83" si="29">IF($D83&lt;&gt;"",IFERROR(IF(_xlfn.XLOOKUP($D83,$D$9:$D$18,R$9:R$18)&gt;0,_xlfn.XLOOKUP($D83,$D$9:$D$18,R$9:R$18),""),""),"")</f>
        <v/>
      </c>
      <c r="R83" s="43" t="str">
        <f t="shared" si="29"/>
        <v/>
      </c>
      <c r="S83" s="43" t="str">
        <f t="shared" si="18"/>
        <v/>
      </c>
      <c r="T83" s="43" t="str">
        <f t="shared" si="18"/>
        <v/>
      </c>
      <c r="U83" s="67" t="str">
        <f t="shared" si="22"/>
        <v/>
      </c>
      <c r="V83" s="67" t="str">
        <f t="shared" si="23"/>
        <v/>
      </c>
      <c r="W83" s="214" t="str">
        <f t="shared" si="25"/>
        <v/>
      </c>
      <c r="X83" s="262" t="str">
        <f t="shared" si="19"/>
        <v/>
      </c>
      <c r="Y83" s="263"/>
      <c r="Z83" s="10"/>
      <c r="AA83" s="34"/>
      <c r="AB83" s="34"/>
      <c r="AC83" s="22"/>
      <c r="AD83" s="191">
        <f>_xlfn.IFNA(_xlfn.XLOOKUP(D83,HELPER_SUBJECTS!D:D,HELPER_SUBJECTS!F:F),0)</f>
        <v>0</v>
      </c>
      <c r="AE83" s="191">
        <f>_xlfn.IFNA(IF(D83&lt;&gt;"",_xlfn.XLOOKUP(D83,ANNEX!$F$52:$F$61,ANNEX!$H$52:$H$61),0),0)</f>
        <v>0</v>
      </c>
      <c r="AF83" s="196">
        <f t="shared" ref="AF83:AF88" si="30">IF(AND(AD83&gt;0,AE83=0),AD83,IF(AND(AE83&gt;0,AD83=0),AE83,0))</f>
        <v>0</v>
      </c>
    </row>
    <row r="84" spans="1:32" s="9" customFormat="1" ht="10.15" customHeight="1">
      <c r="A84" s="44">
        <v>8</v>
      </c>
      <c r="B84" s="230" t="str">
        <f t="shared" si="17"/>
        <v/>
      </c>
      <c r="C84" s="231"/>
      <c r="D84" s="204"/>
      <c r="E84" s="69"/>
      <c r="F84" s="69"/>
      <c r="G84" s="69"/>
      <c r="H84" s="69"/>
      <c r="I84" s="69"/>
      <c r="J84" s="69"/>
      <c r="K84" s="69"/>
      <c r="L84" s="69"/>
      <c r="M84" s="69"/>
      <c r="N84" s="69"/>
      <c r="O84" s="69"/>
      <c r="P84" s="69"/>
      <c r="Q84" s="43" t="str">
        <f t="shared" ref="Q84:R84" si="31">IF($D84&lt;&gt;"",IFERROR(IF(_xlfn.XLOOKUP($D84,$D$9:$D$18,R$9:R$18)&gt;0,_xlfn.XLOOKUP($D84,$D$9:$D$18,R$9:R$18),""),""),"")</f>
        <v/>
      </c>
      <c r="R84" s="43" t="str">
        <f t="shared" si="31"/>
        <v/>
      </c>
      <c r="S84" s="43" t="str">
        <f t="shared" si="18"/>
        <v/>
      </c>
      <c r="T84" s="43" t="str">
        <f t="shared" si="18"/>
        <v/>
      </c>
      <c r="U84" s="67" t="str">
        <f t="shared" si="22"/>
        <v/>
      </c>
      <c r="V84" s="67" t="str">
        <f t="shared" si="23"/>
        <v/>
      </c>
      <c r="W84" s="214" t="str">
        <f t="shared" si="25"/>
        <v/>
      </c>
      <c r="X84" s="262" t="str">
        <f t="shared" si="19"/>
        <v/>
      </c>
      <c r="Y84" s="263"/>
      <c r="Z84" s="10"/>
      <c r="AA84" s="34"/>
      <c r="AB84" s="34"/>
      <c r="AC84" s="22"/>
      <c r="AD84" s="191">
        <f>_xlfn.IFNA(_xlfn.XLOOKUP(D84,HELPER_SUBJECTS!D:D,HELPER_SUBJECTS!F:F),0)</f>
        <v>0</v>
      </c>
      <c r="AE84" s="191">
        <f>_xlfn.IFNA(IF(D84&lt;&gt;"",_xlfn.XLOOKUP(D84,ANNEX!$F$52:$F$61,ANNEX!$H$52:$H$61),0),0)</f>
        <v>0</v>
      </c>
      <c r="AF84" s="196">
        <f t="shared" si="30"/>
        <v>0</v>
      </c>
    </row>
    <row r="85" spans="1:32" s="9" customFormat="1" ht="10.15" customHeight="1">
      <c r="A85" s="44">
        <v>9</v>
      </c>
      <c r="B85" s="230" t="str">
        <f t="shared" si="17"/>
        <v/>
      </c>
      <c r="C85" s="231"/>
      <c r="D85" s="204"/>
      <c r="E85" s="69"/>
      <c r="F85" s="69"/>
      <c r="G85" s="69"/>
      <c r="H85" s="69"/>
      <c r="I85" s="69"/>
      <c r="J85" s="69"/>
      <c r="K85" s="69"/>
      <c r="L85" s="69"/>
      <c r="M85" s="69"/>
      <c r="N85" s="69"/>
      <c r="O85" s="69"/>
      <c r="P85" s="69"/>
      <c r="Q85" s="43" t="str">
        <f t="shared" ref="Q85:R85" si="32">IF($D85&lt;&gt;"",IFERROR(IF(_xlfn.XLOOKUP($D85,$D$9:$D$18,R$9:R$18)&gt;0,_xlfn.XLOOKUP($D85,$D$9:$D$18,R$9:R$18),""),""),"")</f>
        <v/>
      </c>
      <c r="R85" s="43" t="str">
        <f t="shared" si="32"/>
        <v/>
      </c>
      <c r="S85" s="43" t="str">
        <f t="shared" si="18"/>
        <v/>
      </c>
      <c r="T85" s="43" t="str">
        <f t="shared" si="18"/>
        <v/>
      </c>
      <c r="U85" s="67" t="str">
        <f t="shared" si="22"/>
        <v/>
      </c>
      <c r="V85" s="67" t="str">
        <f t="shared" si="23"/>
        <v/>
      </c>
      <c r="W85" s="214" t="str">
        <f t="shared" si="25"/>
        <v/>
      </c>
      <c r="X85" s="262" t="str">
        <f t="shared" si="19"/>
        <v/>
      </c>
      <c r="Y85" s="263"/>
      <c r="Z85" s="10"/>
      <c r="AA85" s="34"/>
      <c r="AB85" s="34"/>
      <c r="AC85" s="22"/>
      <c r="AD85" s="191">
        <f>_xlfn.IFNA(_xlfn.XLOOKUP(D85,HELPER_SUBJECTS!D:D,HELPER_SUBJECTS!F:F),0)</f>
        <v>0</v>
      </c>
      <c r="AE85" s="191">
        <f>_xlfn.IFNA(IF(D85&lt;&gt;"",_xlfn.XLOOKUP(D85,ANNEX!$F$52:$F$61,ANNEX!$H$52:$H$61),0),0)</f>
        <v>0</v>
      </c>
      <c r="AF85" s="196">
        <f t="shared" si="30"/>
        <v>0</v>
      </c>
    </row>
    <row r="86" spans="1:32" s="9" customFormat="1" ht="10.15" customHeight="1">
      <c r="A86" s="44">
        <v>10</v>
      </c>
      <c r="B86" s="230" t="str">
        <f t="shared" si="17"/>
        <v/>
      </c>
      <c r="C86" s="231"/>
      <c r="D86" s="204"/>
      <c r="E86" s="69"/>
      <c r="F86" s="69"/>
      <c r="G86" s="69"/>
      <c r="H86" s="69"/>
      <c r="I86" s="69"/>
      <c r="J86" s="69"/>
      <c r="K86" s="69"/>
      <c r="L86" s="69"/>
      <c r="M86" s="69"/>
      <c r="N86" s="69"/>
      <c r="O86" s="69"/>
      <c r="P86" s="69"/>
      <c r="Q86" s="43" t="str">
        <f t="shared" ref="Q86:R86" si="33">IF($D86&lt;&gt;"",IFERROR(IF(_xlfn.XLOOKUP($D86,$D$9:$D$18,R$9:R$18)&gt;0,_xlfn.XLOOKUP($D86,$D$9:$D$18,R$9:R$18),""),""),"")</f>
        <v/>
      </c>
      <c r="R86" s="43" t="str">
        <f t="shared" si="33"/>
        <v/>
      </c>
      <c r="S86" s="43" t="str">
        <f t="shared" si="18"/>
        <v/>
      </c>
      <c r="T86" s="43" t="str">
        <f t="shared" si="18"/>
        <v/>
      </c>
      <c r="U86" s="67" t="str">
        <f t="shared" si="22"/>
        <v/>
      </c>
      <c r="V86" s="67" t="str">
        <f t="shared" si="23"/>
        <v/>
      </c>
      <c r="W86" s="214" t="str">
        <f t="shared" si="25"/>
        <v/>
      </c>
      <c r="X86" s="262" t="str">
        <f t="shared" si="19"/>
        <v/>
      </c>
      <c r="Y86" s="263"/>
      <c r="Z86" s="10"/>
      <c r="AA86" s="34"/>
      <c r="AB86" s="34"/>
      <c r="AC86" s="22"/>
      <c r="AD86" s="191">
        <f>_xlfn.IFNA(_xlfn.XLOOKUP(D86,HELPER_SUBJECTS!D:D,HELPER_SUBJECTS!F:F),0)</f>
        <v>0</v>
      </c>
      <c r="AE86" s="191">
        <f>_xlfn.IFNA(IF(D86&lt;&gt;"",_xlfn.XLOOKUP(D86,ANNEX!$F$52:$F$61,ANNEX!$H$52:$H$61),0),0)</f>
        <v>0</v>
      </c>
      <c r="AF86" s="196">
        <f t="shared" si="30"/>
        <v>0</v>
      </c>
    </row>
    <row r="87" spans="1:32" s="9" customFormat="1" ht="10.15" customHeight="1">
      <c r="A87" s="44">
        <v>11</v>
      </c>
      <c r="B87" s="230" t="str">
        <f t="shared" si="17"/>
        <v/>
      </c>
      <c r="C87" s="231"/>
      <c r="D87" s="204"/>
      <c r="E87" s="69"/>
      <c r="F87" s="69"/>
      <c r="G87" s="69"/>
      <c r="H87" s="69"/>
      <c r="I87" s="69"/>
      <c r="J87" s="69"/>
      <c r="K87" s="69"/>
      <c r="L87" s="69"/>
      <c r="M87" s="69"/>
      <c r="N87" s="69"/>
      <c r="O87" s="69"/>
      <c r="P87" s="69"/>
      <c r="Q87" s="43" t="str">
        <f t="shared" ref="Q87:R87" si="34">IF($D87&lt;&gt;"",IFERROR(IF(_xlfn.XLOOKUP($D87,$D$9:$D$18,R$9:R$18)&gt;0,_xlfn.XLOOKUP($D87,$D$9:$D$18,R$9:R$18),""),""),"")</f>
        <v/>
      </c>
      <c r="R87" s="43" t="str">
        <f t="shared" si="34"/>
        <v/>
      </c>
      <c r="S87" s="43" t="str">
        <f t="shared" si="18"/>
        <v/>
      </c>
      <c r="T87" s="43" t="str">
        <f t="shared" si="18"/>
        <v/>
      </c>
      <c r="U87" s="67" t="str">
        <f t="shared" si="22"/>
        <v/>
      </c>
      <c r="V87" s="67" t="str">
        <f t="shared" si="23"/>
        <v/>
      </c>
      <c r="W87" s="214" t="str">
        <f t="shared" si="25"/>
        <v/>
      </c>
      <c r="X87" s="262" t="str">
        <f t="shared" si="19"/>
        <v/>
      </c>
      <c r="Y87" s="263"/>
      <c r="Z87" s="10"/>
      <c r="AA87" s="34"/>
      <c r="AB87" s="34"/>
      <c r="AC87" s="22"/>
      <c r="AD87" s="191">
        <f>_xlfn.IFNA(_xlfn.XLOOKUP(D87,HELPER_SUBJECTS!D:D,HELPER_SUBJECTS!F:F),0)</f>
        <v>0</v>
      </c>
      <c r="AE87" s="191">
        <f>_xlfn.IFNA(IF(D87&lt;&gt;"",_xlfn.XLOOKUP(D87,ANNEX!$F$52:$F$61,ANNEX!$H$52:$H$61),0),0)</f>
        <v>0</v>
      </c>
      <c r="AF87" s="196">
        <f t="shared" si="30"/>
        <v>0</v>
      </c>
    </row>
    <row r="88" spans="1:32" s="9" customFormat="1" ht="10.15" customHeight="1">
      <c r="A88" s="51">
        <v>12</v>
      </c>
      <c r="B88" s="274" t="str">
        <f t="shared" si="17"/>
        <v/>
      </c>
      <c r="C88" s="275"/>
      <c r="D88" s="206"/>
      <c r="E88" s="70"/>
      <c r="F88" s="70"/>
      <c r="G88" s="70"/>
      <c r="H88" s="70"/>
      <c r="I88" s="70"/>
      <c r="J88" s="70"/>
      <c r="K88" s="70"/>
      <c r="L88" s="70"/>
      <c r="M88" s="70"/>
      <c r="N88" s="70"/>
      <c r="O88" s="70"/>
      <c r="P88" s="70"/>
      <c r="Q88" s="43" t="str">
        <f t="shared" ref="Q88:R88" si="35">IF($D88&lt;&gt;"",IFERROR(IF(_xlfn.XLOOKUP($D88,$D$9:$D$18,R$9:R$18)&gt;0,_xlfn.XLOOKUP($D88,$D$9:$D$18,R$9:R$18),""),""),"")</f>
        <v/>
      </c>
      <c r="R88" s="43" t="str">
        <f t="shared" si="35"/>
        <v/>
      </c>
      <c r="S88" s="43" t="str">
        <f t="shared" si="18"/>
        <v/>
      </c>
      <c r="T88" s="43" t="str">
        <f t="shared" si="18"/>
        <v/>
      </c>
      <c r="U88" s="67" t="str">
        <f t="shared" si="22"/>
        <v/>
      </c>
      <c r="V88" s="67" t="str">
        <f t="shared" si="23"/>
        <v/>
      </c>
      <c r="W88" s="214" t="str">
        <f t="shared" si="25"/>
        <v/>
      </c>
      <c r="X88" s="284" t="str">
        <f t="shared" si="19"/>
        <v/>
      </c>
      <c r="Y88" s="285"/>
      <c r="Z88" s="10"/>
      <c r="AA88" s="34"/>
      <c r="AB88" s="34"/>
      <c r="AC88" s="22"/>
      <c r="AD88" s="191">
        <f>_xlfn.IFNA(_xlfn.XLOOKUP(D88,HELPER_SUBJECTS!D:D,HELPER_SUBJECTS!F:F),0)</f>
        <v>0</v>
      </c>
      <c r="AE88" s="191">
        <f>_xlfn.IFNA(IF(D88&lt;&gt;"",_xlfn.XLOOKUP(D88,ANNEX!$F$52:$F$61,ANNEX!$H$52:$H$61),0),0)</f>
        <v>0</v>
      </c>
      <c r="AF88" s="196">
        <f t="shared" si="30"/>
        <v>0</v>
      </c>
    </row>
    <row r="89" spans="1:32">
      <c r="A89" s="74"/>
      <c r="B89" s="75"/>
      <c r="C89" s="75"/>
      <c r="D89" s="75"/>
      <c r="E89" s="75"/>
      <c r="F89" s="75"/>
      <c r="G89" s="75"/>
      <c r="H89" s="75"/>
      <c r="I89" s="75"/>
      <c r="J89" s="75"/>
      <c r="K89" s="75"/>
      <c r="L89" s="75"/>
      <c r="M89" s="75"/>
      <c r="N89" s="75"/>
      <c r="O89" s="75"/>
      <c r="P89" s="75"/>
      <c r="Q89" s="75"/>
      <c r="R89" s="75"/>
      <c r="S89" s="75"/>
      <c r="T89" s="75"/>
      <c r="U89" s="75"/>
      <c r="V89" s="223" t="s">
        <v>96</v>
      </c>
      <c r="W89" s="222" t="str">
        <f>IFERROR(ROUND(AVERAGE(W77:W88),),"")</f>
        <v/>
      </c>
      <c r="X89" s="261" t="str">
        <f>IF(AND(W89&gt;0,W89&lt;&gt;""),IF(W89&lt;75,"FAILED","PASSED"),"")</f>
        <v/>
      </c>
      <c r="Y89" s="261"/>
      <c r="AC89" s="216"/>
    </row>
    <row r="90" spans="1:32" ht="4.9000000000000004" customHeight="1">
      <c r="P90" s="40"/>
      <c r="Q90" s="17"/>
      <c r="R90" s="60"/>
      <c r="S90" s="60"/>
      <c r="T90" s="17"/>
      <c r="U90" s="60"/>
      <c r="V90" s="60"/>
      <c r="W90" s="60"/>
      <c r="X90" s="60"/>
      <c r="Y90" s="60"/>
      <c r="AA90" s="34"/>
      <c r="AB90" s="34"/>
      <c r="AC90" s="216"/>
    </row>
    <row r="91" spans="1:32" ht="4.9000000000000004" customHeight="1">
      <c r="A91" s="61"/>
      <c r="B91" s="61"/>
      <c r="C91" s="61"/>
      <c r="D91" s="61"/>
      <c r="E91" s="61"/>
      <c r="F91" s="61"/>
      <c r="G91" s="61"/>
      <c r="H91" s="61"/>
      <c r="I91" s="61"/>
      <c r="J91" s="61"/>
      <c r="K91" s="61"/>
      <c r="L91" s="61"/>
      <c r="M91" s="61"/>
      <c r="N91" s="61"/>
      <c r="O91" s="61"/>
      <c r="P91" s="62"/>
      <c r="Q91" s="63"/>
      <c r="R91" s="64"/>
      <c r="S91" s="64"/>
      <c r="T91" s="63"/>
      <c r="U91" s="64"/>
      <c r="V91" s="64"/>
      <c r="W91" s="64"/>
      <c r="X91" s="64"/>
      <c r="Y91" s="64"/>
      <c r="AA91" s="34"/>
      <c r="AB91" s="34"/>
      <c r="AC91" s="216"/>
    </row>
    <row r="92" spans="1:32" s="11" customFormat="1" ht="4.9000000000000004" customHeight="1">
      <c r="A92" s="19"/>
      <c r="B92" s="19"/>
      <c r="C92" s="19"/>
      <c r="D92" s="19"/>
      <c r="E92" s="19"/>
      <c r="F92" s="19"/>
      <c r="G92" s="19"/>
      <c r="H92" s="19"/>
      <c r="I92" s="19"/>
      <c r="J92" s="19"/>
      <c r="K92" s="19"/>
      <c r="L92" s="19"/>
      <c r="M92" s="19"/>
      <c r="N92" s="19"/>
      <c r="O92" s="19"/>
      <c r="P92" s="40"/>
      <c r="Q92" s="17"/>
      <c r="R92" s="60"/>
      <c r="S92" s="60"/>
      <c r="T92" s="17"/>
      <c r="U92" s="60"/>
      <c r="V92" s="60"/>
      <c r="W92" s="60"/>
      <c r="X92" s="60"/>
      <c r="Y92" s="60"/>
      <c r="AA92" s="34"/>
      <c r="AB92" s="34"/>
      <c r="AC92" s="216"/>
      <c r="AD92" s="100"/>
    </row>
    <row r="93" spans="1:32" ht="13.9">
      <c r="A93" s="139" t="s">
        <v>102</v>
      </c>
      <c r="E93" s="389"/>
      <c r="F93" s="389"/>
      <c r="G93" s="389"/>
      <c r="H93" s="389"/>
      <c r="I93" s="389"/>
      <c r="J93" s="389"/>
      <c r="K93" s="389"/>
      <c r="L93" s="389"/>
      <c r="M93" s="389"/>
      <c r="N93" s="389"/>
      <c r="O93" s="389"/>
      <c r="P93" s="389"/>
      <c r="Q93" s="389"/>
      <c r="R93" s="389"/>
      <c r="U93" s="60"/>
      <c r="V93" s="140" t="s">
        <v>103</v>
      </c>
      <c r="W93" s="232" t="str">
        <f>IFERROR(IF(AND(ISNUMBER(FRONT!W123),ISNUMBER(BACK!W89)),ROUND(AVERAGE(FRONT!W123,BACK!W89),0),""),"")</f>
        <v/>
      </c>
      <c r="X93" s="232"/>
      <c r="Y93" s="232"/>
      <c r="AA93" s="34"/>
      <c r="AB93" s="34"/>
      <c r="AC93" s="216"/>
    </row>
    <row r="94" spans="1:32" s="11" customFormat="1" ht="4.9000000000000004" customHeight="1">
      <c r="A94" s="19"/>
      <c r="B94" s="19"/>
      <c r="C94" s="19"/>
      <c r="D94" s="19"/>
      <c r="E94" s="19"/>
      <c r="F94" s="19"/>
      <c r="G94" s="19"/>
      <c r="H94" s="19"/>
      <c r="I94" s="19"/>
      <c r="J94" s="19"/>
      <c r="K94" s="19"/>
      <c r="L94" s="19"/>
      <c r="M94" s="19"/>
      <c r="N94" s="19"/>
      <c r="O94" s="19"/>
      <c r="P94" s="40"/>
      <c r="Q94" s="17"/>
      <c r="R94" s="60"/>
      <c r="S94" s="60"/>
      <c r="T94" s="17"/>
      <c r="U94" s="60"/>
      <c r="V94" s="60"/>
      <c r="W94" s="60"/>
      <c r="X94" s="60"/>
      <c r="Y94" s="60"/>
      <c r="AA94" s="2"/>
      <c r="AB94" s="2"/>
      <c r="AC94" s="157"/>
      <c r="AD94" s="162"/>
    </row>
    <row r="95" spans="1:32" ht="13.9">
      <c r="A95" s="139" t="s">
        <v>104</v>
      </c>
      <c r="E95" s="392"/>
      <c r="F95" s="392"/>
      <c r="G95" s="392"/>
      <c r="H95" s="392"/>
      <c r="I95" s="392"/>
      <c r="J95" s="392"/>
      <c r="K95" s="392"/>
      <c r="L95" s="392"/>
      <c r="M95" s="392"/>
      <c r="N95" s="392"/>
      <c r="O95" s="392"/>
      <c r="P95" s="392"/>
      <c r="Q95" s="392"/>
      <c r="R95" s="392"/>
      <c r="S95" s="60"/>
      <c r="T95" s="17"/>
      <c r="U95" s="60"/>
      <c r="V95" s="140" t="s">
        <v>105</v>
      </c>
      <c r="W95" s="427"/>
      <c r="X95" s="427"/>
      <c r="Y95" s="427"/>
      <c r="AC95" s="216"/>
    </row>
    <row r="96" spans="1:32" s="11" customFormat="1">
      <c r="A96" s="19"/>
      <c r="B96" s="19"/>
      <c r="C96" s="19"/>
      <c r="D96" s="19"/>
      <c r="E96" s="19"/>
      <c r="F96" s="19"/>
      <c r="G96" s="19"/>
      <c r="H96" s="19"/>
      <c r="I96" s="19"/>
      <c r="J96" s="19"/>
      <c r="K96" s="19"/>
      <c r="L96" s="19"/>
      <c r="M96" s="19"/>
      <c r="N96" s="19"/>
      <c r="O96" s="19"/>
      <c r="P96" s="40"/>
      <c r="Q96" s="17"/>
      <c r="R96" s="60"/>
      <c r="S96" s="60"/>
      <c r="T96" s="17"/>
      <c r="U96" s="60"/>
      <c r="V96" s="60"/>
      <c r="W96" s="312" t="s">
        <v>14</v>
      </c>
      <c r="X96" s="312"/>
      <c r="Y96" s="312"/>
      <c r="AA96" s="19"/>
      <c r="AB96" s="19"/>
      <c r="AC96" s="216"/>
      <c r="AD96" s="100"/>
    </row>
    <row r="97" spans="1:30" ht="13.9">
      <c r="A97" s="139" t="s">
        <v>106</v>
      </c>
      <c r="I97" s="139" t="s">
        <v>107</v>
      </c>
      <c r="M97" s="65"/>
      <c r="N97" s="138" t="s">
        <v>108</v>
      </c>
      <c r="P97" s="40"/>
      <c r="Q97" s="17"/>
      <c r="R97" s="60"/>
      <c r="S97" s="60"/>
      <c r="T97" s="17"/>
      <c r="U97" s="60"/>
      <c r="V97" s="60"/>
      <c r="AA97" s="34"/>
      <c r="AB97" s="34"/>
      <c r="AC97" s="216"/>
    </row>
    <row r="98" spans="1:30" ht="4.9000000000000004" customHeight="1">
      <c r="M98" s="65"/>
      <c r="P98" s="40"/>
      <c r="Q98" s="17"/>
      <c r="R98" s="60"/>
      <c r="S98" s="60"/>
      <c r="T98" s="17"/>
      <c r="U98" s="60"/>
      <c r="V98" s="60"/>
      <c r="W98" s="173"/>
      <c r="X98" s="173"/>
      <c r="Y98" s="173"/>
      <c r="AA98" s="34"/>
      <c r="AB98" s="34"/>
      <c r="AC98" s="216"/>
    </row>
    <row r="99" spans="1:30">
      <c r="A99" s="389"/>
      <c r="B99" s="389"/>
      <c r="C99" s="389"/>
      <c r="D99" s="389"/>
      <c r="E99" s="389"/>
      <c r="F99" s="389"/>
      <c r="G99" s="389"/>
      <c r="H99" s="60"/>
      <c r="I99" s="398"/>
      <c r="J99" s="398"/>
      <c r="K99" s="398"/>
      <c r="L99" s="60"/>
      <c r="M99" s="66"/>
      <c r="N99" s="79"/>
      <c r="O99" s="85"/>
      <c r="P99" s="85"/>
      <c r="Q99" s="85"/>
      <c r="R99" s="85"/>
      <c r="S99" s="85"/>
      <c r="T99" s="85"/>
      <c r="U99" s="85"/>
      <c r="V99" s="85"/>
      <c r="W99" s="174"/>
      <c r="X99" s="174"/>
      <c r="Y99" s="174"/>
      <c r="AA99" s="34"/>
      <c r="AB99" s="34"/>
      <c r="AC99" s="216"/>
    </row>
    <row r="100" spans="1:30">
      <c r="I100" s="410" t="s">
        <v>14</v>
      </c>
      <c r="J100" s="410"/>
      <c r="K100" s="410"/>
      <c r="M100" s="65"/>
      <c r="N100" s="86"/>
      <c r="O100" s="86"/>
      <c r="P100" s="87"/>
      <c r="Q100" s="88"/>
      <c r="R100" s="85"/>
      <c r="S100" s="85"/>
      <c r="T100" s="88"/>
      <c r="U100" s="85"/>
      <c r="V100" s="85"/>
      <c r="W100" s="174"/>
      <c r="X100" s="174"/>
      <c r="Y100" s="174"/>
      <c r="AA100" s="34"/>
      <c r="AB100" s="34"/>
      <c r="AC100" s="216" t="str">
        <f>IF(B100="CORE",HELPER_SUBJECTS!$M$4,IF(B100="ACADEMIC",HELPER_SUBJECTS!$S$4,IF(B100="TECHPRO",HELPER_SUBJECTS!$T$4,"")))</f>
        <v/>
      </c>
    </row>
    <row r="101" spans="1:30" ht="13.9">
      <c r="A101" s="175" t="s">
        <v>109</v>
      </c>
      <c r="B101" s="176"/>
      <c r="C101" s="176"/>
      <c r="D101" s="176"/>
      <c r="E101" s="176"/>
      <c r="F101" s="176"/>
      <c r="G101" s="176"/>
      <c r="H101" s="176"/>
      <c r="I101" s="176"/>
      <c r="J101" s="176"/>
      <c r="K101" s="176"/>
      <c r="L101" s="177"/>
      <c r="M101" s="65"/>
      <c r="N101" s="86"/>
      <c r="O101" s="86"/>
      <c r="P101" s="87"/>
      <c r="Q101" s="88"/>
      <c r="R101" s="85"/>
      <c r="S101" s="85"/>
      <c r="T101" s="88"/>
      <c r="U101" s="85"/>
      <c r="V101" s="85"/>
      <c r="W101" s="174"/>
      <c r="X101" s="174"/>
      <c r="Y101" s="174"/>
      <c r="AA101" s="34"/>
      <c r="AB101" s="34"/>
      <c r="AC101" s="216" t="str">
        <f>IF(B101="CORE",HELPER_SUBJECTS!$M$4,IF(B101="ACADEMIC",HELPER_SUBJECTS!$S$4,IF(B101="TECHPRO",HELPER_SUBJECTS!$T$4,"")))</f>
        <v/>
      </c>
    </row>
    <row r="102" spans="1:30" ht="5.45" customHeight="1">
      <c r="A102" s="404" t="s">
        <v>110</v>
      </c>
      <c r="B102" s="405"/>
      <c r="C102" s="405"/>
      <c r="D102" s="405"/>
      <c r="E102" s="405"/>
      <c r="F102" s="405"/>
      <c r="G102" s="405"/>
      <c r="H102" s="405"/>
      <c r="I102" s="405"/>
      <c r="J102" s="405"/>
      <c r="K102" s="405"/>
      <c r="L102" s="406"/>
      <c r="M102" s="65"/>
      <c r="N102" s="86"/>
      <c r="O102" s="86"/>
      <c r="P102" s="87"/>
      <c r="Q102" s="88"/>
      <c r="R102" s="85"/>
      <c r="S102" s="85"/>
      <c r="T102" s="88"/>
      <c r="U102" s="85"/>
      <c r="V102" s="85"/>
      <c r="W102" s="174"/>
      <c r="X102" s="174"/>
      <c r="Y102" s="174"/>
      <c r="AA102" s="34"/>
      <c r="AB102" s="34"/>
      <c r="AC102" s="216" t="str">
        <f>IF(B102="CORE",HELPER_SUBJECTS!$M$4,IF(B102="ACADEMIC",HELPER_SUBJECTS!$S$4,IF(B102="TECHPRO",HELPER_SUBJECTS!$T$4,"")))</f>
        <v/>
      </c>
    </row>
    <row r="103" spans="1:30">
      <c r="A103" s="404"/>
      <c r="B103" s="405"/>
      <c r="C103" s="405"/>
      <c r="D103" s="405"/>
      <c r="E103" s="405"/>
      <c r="F103" s="405"/>
      <c r="G103" s="405"/>
      <c r="H103" s="405"/>
      <c r="I103" s="405"/>
      <c r="J103" s="405"/>
      <c r="K103" s="405"/>
      <c r="L103" s="406"/>
      <c r="M103" s="65"/>
      <c r="N103" s="86"/>
      <c r="O103" s="86"/>
      <c r="P103" s="87"/>
      <c r="Q103" s="88"/>
      <c r="R103" s="85"/>
      <c r="S103" s="85"/>
      <c r="T103" s="88"/>
      <c r="U103" s="85"/>
      <c r="V103" s="85"/>
      <c r="W103" s="174"/>
      <c r="X103" s="174"/>
      <c r="Y103" s="174"/>
      <c r="AA103" s="34"/>
      <c r="AB103" s="34"/>
      <c r="AC103" s="216" t="str">
        <f>IF(B103="CORE",HELPER_SUBJECTS!$M$4,IF(B103="ACADEMIC",HELPER_SUBJECTS!$S$4,IF(B103="TECHPRO",HELPER_SUBJECTS!$T$4,"")))</f>
        <v/>
      </c>
    </row>
    <row r="104" spans="1:30">
      <c r="A104" s="404"/>
      <c r="B104" s="405"/>
      <c r="C104" s="405"/>
      <c r="D104" s="405"/>
      <c r="E104" s="405"/>
      <c r="F104" s="405"/>
      <c r="G104" s="405"/>
      <c r="H104" s="405"/>
      <c r="I104" s="405"/>
      <c r="J104" s="405"/>
      <c r="K104" s="405"/>
      <c r="L104" s="406"/>
      <c r="M104" s="65"/>
      <c r="N104" s="86"/>
      <c r="O104" s="86"/>
      <c r="P104" s="87"/>
      <c r="Q104" s="88"/>
      <c r="R104" s="85"/>
      <c r="S104" s="85"/>
      <c r="T104" s="88"/>
      <c r="U104" s="85"/>
      <c r="V104" s="85"/>
      <c r="W104" s="85"/>
      <c r="X104" s="85"/>
      <c r="Y104" s="85"/>
      <c r="AA104" s="37"/>
      <c r="AB104" s="37"/>
      <c r="AC104" s="216"/>
    </row>
    <row r="105" spans="1:30">
      <c r="A105" s="404"/>
      <c r="B105" s="405"/>
      <c r="C105" s="405"/>
      <c r="D105" s="405"/>
      <c r="E105" s="405"/>
      <c r="F105" s="405"/>
      <c r="G105" s="405"/>
      <c r="H105" s="405"/>
      <c r="I105" s="405"/>
      <c r="J105" s="405"/>
      <c r="K105" s="405"/>
      <c r="L105" s="406"/>
      <c r="M105" s="65"/>
      <c r="N105" s="86"/>
      <c r="O105" s="86"/>
      <c r="P105" s="87"/>
      <c r="Q105" s="88"/>
      <c r="R105" s="85"/>
      <c r="S105" s="85"/>
      <c r="T105" s="88"/>
      <c r="U105" s="85"/>
      <c r="V105" s="85"/>
      <c r="W105" s="85"/>
      <c r="X105" s="85"/>
      <c r="Y105" s="85"/>
      <c r="AA105" s="19"/>
      <c r="AB105" s="19"/>
      <c r="AC105" s="216"/>
    </row>
    <row r="106" spans="1:30">
      <c r="A106" s="404"/>
      <c r="B106" s="405"/>
      <c r="C106" s="405"/>
      <c r="D106" s="405"/>
      <c r="E106" s="405"/>
      <c r="F106" s="405"/>
      <c r="G106" s="405"/>
      <c r="H106" s="405"/>
      <c r="I106" s="405"/>
      <c r="J106" s="405"/>
      <c r="K106" s="405"/>
      <c r="L106" s="406"/>
      <c r="M106" s="65"/>
      <c r="N106" s="86"/>
      <c r="O106" s="86"/>
      <c r="P106" s="87"/>
      <c r="Q106" s="88"/>
      <c r="R106" s="85"/>
      <c r="S106" s="85"/>
      <c r="T106" s="88"/>
      <c r="U106" s="85"/>
      <c r="V106" s="85"/>
      <c r="W106" s="85"/>
      <c r="X106" s="85"/>
      <c r="Y106" s="85"/>
      <c r="AA106" s="37"/>
      <c r="AB106" s="37"/>
      <c r="AC106" s="216"/>
    </row>
    <row r="107" spans="1:30">
      <c r="A107" s="404"/>
      <c r="B107" s="405"/>
      <c r="C107" s="405"/>
      <c r="D107" s="405"/>
      <c r="E107" s="405"/>
      <c r="F107" s="405"/>
      <c r="G107" s="405"/>
      <c r="H107" s="405"/>
      <c r="I107" s="405"/>
      <c r="J107" s="405"/>
      <c r="K107" s="405"/>
      <c r="L107" s="406"/>
      <c r="M107" s="65"/>
      <c r="N107" s="86"/>
      <c r="O107" s="86"/>
      <c r="P107" s="87"/>
      <c r="Q107" s="88"/>
      <c r="R107" s="85"/>
      <c r="S107" s="85"/>
      <c r="T107" s="88"/>
      <c r="U107" s="85"/>
      <c r="V107" s="85"/>
      <c r="W107" s="85"/>
      <c r="X107" s="85"/>
      <c r="Y107" s="85"/>
      <c r="AC107" s="216"/>
    </row>
    <row r="108" spans="1:30">
      <c r="A108" s="404"/>
      <c r="B108" s="405"/>
      <c r="C108" s="405"/>
      <c r="D108" s="405"/>
      <c r="E108" s="405"/>
      <c r="F108" s="405"/>
      <c r="G108" s="405"/>
      <c r="H108" s="405"/>
      <c r="I108" s="405"/>
      <c r="J108" s="405"/>
      <c r="K108" s="405"/>
      <c r="L108" s="406"/>
      <c r="M108" s="65"/>
      <c r="N108" s="86"/>
      <c r="O108" s="86"/>
      <c r="P108" s="87"/>
      <c r="Q108" s="88"/>
      <c r="R108" s="85"/>
      <c r="S108" s="85"/>
      <c r="T108" s="88"/>
      <c r="U108" s="85"/>
      <c r="V108" s="85"/>
      <c r="W108" s="85"/>
      <c r="X108" s="85"/>
      <c r="Y108" s="85"/>
      <c r="AC108" s="216"/>
    </row>
    <row r="109" spans="1:30">
      <c r="A109" s="404"/>
      <c r="B109" s="405"/>
      <c r="C109" s="405"/>
      <c r="D109" s="405"/>
      <c r="E109" s="405"/>
      <c r="F109" s="405"/>
      <c r="G109" s="405"/>
      <c r="H109" s="405"/>
      <c r="I109" s="405"/>
      <c r="J109" s="405"/>
      <c r="K109" s="405"/>
      <c r="L109" s="406"/>
      <c r="M109" s="65"/>
      <c r="N109" s="86"/>
      <c r="O109" s="86"/>
      <c r="P109" s="87"/>
      <c r="Q109" s="88"/>
      <c r="R109" s="85"/>
      <c r="S109" s="85"/>
      <c r="T109" s="88"/>
      <c r="U109" s="85"/>
      <c r="V109" s="85"/>
      <c r="W109" s="85"/>
      <c r="X109" s="85"/>
      <c r="Y109" s="85"/>
      <c r="AC109" s="216"/>
    </row>
    <row r="110" spans="1:30">
      <c r="A110" s="404"/>
      <c r="B110" s="405"/>
      <c r="C110" s="405"/>
      <c r="D110" s="405"/>
      <c r="E110" s="405"/>
      <c r="F110" s="405"/>
      <c r="G110" s="405"/>
      <c r="H110" s="405"/>
      <c r="I110" s="405"/>
      <c r="J110" s="405"/>
      <c r="K110" s="405"/>
      <c r="L110" s="406"/>
      <c r="M110" s="65"/>
      <c r="N110" s="86"/>
      <c r="O110" s="86"/>
      <c r="P110" s="87"/>
      <c r="Q110" s="88"/>
      <c r="R110" s="85"/>
      <c r="S110" s="85"/>
      <c r="T110" s="88"/>
      <c r="U110" s="85"/>
      <c r="V110" s="85"/>
      <c r="W110" s="85"/>
      <c r="X110" s="85"/>
      <c r="Y110" s="85"/>
      <c r="AC110" s="216"/>
    </row>
    <row r="111" spans="1:30">
      <c r="A111" s="404"/>
      <c r="B111" s="405"/>
      <c r="C111" s="405"/>
      <c r="D111" s="405"/>
      <c r="E111" s="405"/>
      <c r="F111" s="405"/>
      <c r="G111" s="405"/>
      <c r="H111" s="405"/>
      <c r="I111" s="405"/>
      <c r="J111" s="405"/>
      <c r="K111" s="405"/>
      <c r="L111" s="406"/>
      <c r="M111" s="65"/>
      <c r="N111" s="86"/>
      <c r="O111" s="86"/>
      <c r="P111" s="87"/>
      <c r="Q111" s="88"/>
      <c r="R111" s="85"/>
      <c r="S111" s="85"/>
      <c r="T111" s="88"/>
      <c r="U111" s="85"/>
      <c r="V111" s="85"/>
      <c r="W111" s="85"/>
      <c r="X111" s="85"/>
      <c r="Y111" s="85"/>
      <c r="AC111" s="216"/>
      <c r="AD111" s="100" t="s">
        <v>111</v>
      </c>
    </row>
    <row r="112" spans="1:30">
      <c r="A112" s="407"/>
      <c r="B112" s="408"/>
      <c r="C112" s="408"/>
      <c r="D112" s="408"/>
      <c r="E112" s="408"/>
      <c r="F112" s="408"/>
      <c r="G112" s="408"/>
      <c r="H112" s="408"/>
      <c r="I112" s="408"/>
      <c r="J112" s="408"/>
      <c r="K112" s="408"/>
      <c r="L112" s="409"/>
      <c r="M112" s="65"/>
      <c r="N112" s="86"/>
      <c r="O112" s="86"/>
      <c r="P112" s="87"/>
      <c r="Q112" s="88"/>
      <c r="R112" s="85"/>
      <c r="S112" s="85"/>
      <c r="T112" s="88"/>
      <c r="U112" s="85"/>
      <c r="V112" s="85"/>
      <c r="W112" s="85"/>
      <c r="X112" s="85"/>
      <c r="Y112" s="85"/>
      <c r="AC112" s="216">
        <v>4</v>
      </c>
    </row>
    <row r="113" spans="1:30" ht="6" customHeight="1">
      <c r="A113" s="178"/>
      <c r="B113" s="178"/>
      <c r="C113" s="178"/>
      <c r="D113" s="178"/>
      <c r="E113" s="178"/>
      <c r="F113" s="178"/>
      <c r="G113" s="178"/>
      <c r="H113" s="178"/>
      <c r="I113" s="178"/>
      <c r="J113" s="178"/>
      <c r="K113" s="178"/>
      <c r="L113" s="178"/>
      <c r="N113" s="86"/>
      <c r="O113" s="86"/>
      <c r="P113" s="87"/>
      <c r="Q113" s="88"/>
      <c r="R113" s="85"/>
      <c r="S113" s="85"/>
      <c r="T113" s="88"/>
      <c r="U113" s="85"/>
      <c r="V113" s="85"/>
      <c r="W113" s="85"/>
      <c r="X113" s="85"/>
      <c r="Y113" s="85"/>
      <c r="AC113" s="216">
        <v>4</v>
      </c>
    </row>
    <row r="114" spans="1:30" ht="16.149999999999999" customHeight="1">
      <c r="A114" s="139" t="s">
        <v>112</v>
      </c>
      <c r="C114" s="392"/>
      <c r="D114" s="392"/>
      <c r="E114" s="392"/>
      <c r="F114" s="392"/>
      <c r="G114" s="392"/>
      <c r="H114" s="392"/>
      <c r="I114" s="392"/>
      <c r="J114" s="392"/>
      <c r="K114" s="392"/>
      <c r="L114" s="392"/>
      <c r="N114" s="86"/>
      <c r="O114" s="86"/>
      <c r="P114" s="87"/>
      <c r="Q114" s="88"/>
      <c r="R114" s="85"/>
      <c r="S114" s="85"/>
      <c r="T114" s="88"/>
      <c r="U114" s="85"/>
      <c r="V114" s="85"/>
      <c r="W114" s="85"/>
      <c r="X114" s="85"/>
      <c r="Y114" s="85"/>
      <c r="AC114" s="216">
        <v>4</v>
      </c>
    </row>
    <row r="115" spans="1:30">
      <c r="C115" s="179" t="s">
        <v>113</v>
      </c>
      <c r="N115" s="86"/>
      <c r="O115" s="86"/>
      <c r="P115" s="87"/>
      <c r="Q115" s="88"/>
      <c r="R115" s="85"/>
      <c r="S115" s="85"/>
      <c r="T115" s="88"/>
      <c r="U115" s="85"/>
      <c r="V115" s="85"/>
      <c r="W115" s="85"/>
      <c r="X115" s="85"/>
      <c r="Y115" s="85"/>
      <c r="AC115" s="216">
        <v>4</v>
      </c>
    </row>
    <row r="116" spans="1:30" ht="13.9">
      <c r="A116" s="138" t="s">
        <v>114</v>
      </c>
      <c r="C116" s="398"/>
      <c r="D116" s="398"/>
      <c r="E116" s="398"/>
      <c r="N116" s="86"/>
      <c r="O116" s="86"/>
      <c r="P116" s="87"/>
      <c r="Q116" s="88"/>
      <c r="R116" s="85"/>
      <c r="S116" s="85"/>
      <c r="T116" s="88"/>
      <c r="U116" s="85"/>
      <c r="V116" s="85"/>
      <c r="W116" s="85"/>
      <c r="X116" s="85"/>
      <c r="Y116" s="85"/>
      <c r="AC116" s="216">
        <v>4</v>
      </c>
    </row>
    <row r="117" spans="1:30">
      <c r="C117" s="403" t="s">
        <v>14</v>
      </c>
      <c r="D117" s="403"/>
      <c r="E117" s="403"/>
      <c r="P117" s="40"/>
      <c r="Q117" s="17"/>
      <c r="R117" s="60"/>
      <c r="S117" s="60"/>
      <c r="T117" s="17"/>
      <c r="U117" s="60"/>
      <c r="V117" s="60"/>
      <c r="W117" s="60"/>
      <c r="X117" s="60"/>
      <c r="Y117" s="60"/>
      <c r="AC117" s="216">
        <v>4</v>
      </c>
    </row>
    <row r="118" spans="1:30" s="9" customFormat="1">
      <c r="A118" s="180"/>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2" t="s">
        <v>115</v>
      </c>
      <c r="Z118" s="10"/>
      <c r="AA118" s="22"/>
      <c r="AB118" s="22"/>
      <c r="AC118" s="216">
        <v>4</v>
      </c>
      <c r="AD118" s="100"/>
    </row>
    <row r="119" spans="1:30" s="9" customForma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0"/>
      <c r="AA119" s="22"/>
      <c r="AB119" s="22"/>
      <c r="AC119" s="216">
        <f>_xlfn.XLOOKUP(D119,HELPER_SUBJECTS!D:D,HELPER_SUBJECTS!F:F)</f>
        <v>0</v>
      </c>
      <c r="AD119" s="100"/>
    </row>
    <row r="120" spans="1:30" s="9" customForma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0"/>
      <c r="AA120" s="22"/>
      <c r="AB120" s="22"/>
      <c r="AC120" s="216">
        <f>_xlfn.XLOOKUP(D120,HELPER_SUBJECTS!D:D,HELPER_SUBJECTS!F:F)</f>
        <v>0</v>
      </c>
      <c r="AD120" s="100"/>
    </row>
    <row r="121" spans="1:30" s="9" customForma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0"/>
      <c r="AA121" s="22"/>
      <c r="AB121" s="22"/>
      <c r="AC121" s="216">
        <f>_xlfn.XLOOKUP(D121,HELPER_SUBJECTS!D:D,HELPER_SUBJECTS!F:F)</f>
        <v>0</v>
      </c>
      <c r="AD121" s="100"/>
    </row>
    <row r="122" spans="1:30" s="9" customForma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0"/>
      <c r="AA122" s="22"/>
      <c r="AB122" s="22"/>
      <c r="AC122" s="216">
        <f>_xlfn.XLOOKUP(D122,HELPER_SUBJECTS!D:D,HELPER_SUBJECTS!F:F)</f>
        <v>0</v>
      </c>
      <c r="AD122" s="100"/>
    </row>
    <row r="123" spans="1:30" s="9" customForma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0"/>
      <c r="AA123" s="22"/>
      <c r="AB123" s="22"/>
      <c r="AC123" s="216">
        <f>_xlfn.XLOOKUP(D123,HELPER_SUBJECTS!D:D,HELPER_SUBJECTS!F:F)</f>
        <v>0</v>
      </c>
      <c r="AD123" s="100"/>
    </row>
    <row r="124" spans="1:30" s="9" customForma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0"/>
      <c r="AA124" s="22"/>
      <c r="AB124" s="22"/>
      <c r="AC124" s="216">
        <f>_xlfn.XLOOKUP(D124,HELPER_SUBJECTS!D:D,HELPER_SUBJECTS!F:F)</f>
        <v>0</v>
      </c>
      <c r="AD124" s="100"/>
    </row>
    <row r="125" spans="1:30" s="9" customForma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0"/>
      <c r="AA125" s="22"/>
      <c r="AB125" s="22"/>
      <c r="AC125" s="216">
        <f>_xlfn.XLOOKUP(D125,HELPER_SUBJECTS!D:D,HELPER_SUBJECTS!F:F)</f>
        <v>0</v>
      </c>
      <c r="AD125" s="100"/>
    </row>
    <row r="126" spans="1:30" s="9" customForma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0"/>
      <c r="AA126" s="22"/>
      <c r="AB126" s="22"/>
      <c r="AC126" s="216">
        <f>_xlfn.XLOOKUP(D126,HELPER_SUBJECTS!D:D,HELPER_SUBJECTS!F:F)</f>
        <v>0</v>
      </c>
      <c r="AD126" s="100"/>
    </row>
    <row r="127" spans="1:30">
      <c r="AC127" s="216">
        <f>_xlfn.XLOOKUP(D127,HELPER_SUBJECTS!D:D,HELPER_SUBJECTS!F:F)</f>
        <v>0</v>
      </c>
    </row>
    <row r="128" spans="1:30">
      <c r="AC128" s="216">
        <f>_xlfn.XLOOKUP(D128,HELPER_SUBJECTS!D:D,HELPER_SUBJECTS!F:F)</f>
        <v>0</v>
      </c>
    </row>
    <row r="129" spans="29:29">
      <c r="AC129" s="216">
        <f>_xlfn.XLOOKUP(D129,HELPER_SUBJECTS!D:D,HELPER_SUBJECTS!F:F)</f>
        <v>0</v>
      </c>
    </row>
    <row r="130" spans="29:29">
      <c r="AC130" s="216">
        <f>_xlfn.XLOOKUP(D130,HELPER_SUBJECTS!D:D,HELPER_SUBJECTS!F:F)</f>
        <v>0</v>
      </c>
    </row>
  </sheetData>
  <sheetProtection algorithmName="SHA-512" hashValue="xQyGnffXRXlh6G6c4CpwSQLwOeb9GmN1c+HgD4062jTEy7lp/Hm1QAWeRb12pKPWTalUQg7d2sBtlFm0NaJseQ==" saltValue="OJu5dvaxGJ0T7v3ISdkeLg==" spinCount="100000" sheet="1" formatCells="0"/>
  <mergeCells count="244">
    <mergeCell ref="W46:Y46"/>
    <mergeCell ref="B47:C47"/>
    <mergeCell ref="D47:Q47"/>
    <mergeCell ref="U47:V47"/>
    <mergeCell ref="W47:Y47"/>
    <mergeCell ref="B48:C48"/>
    <mergeCell ref="D48:Q48"/>
    <mergeCell ref="U48:V48"/>
    <mergeCell ref="W48:Y48"/>
    <mergeCell ref="C4:O4"/>
    <mergeCell ref="C39:O39"/>
    <mergeCell ref="B11:C11"/>
    <mergeCell ref="D11:Q11"/>
    <mergeCell ref="U11:V11"/>
    <mergeCell ref="W11:Y11"/>
    <mergeCell ref="B12:C12"/>
    <mergeCell ref="D12:Q12"/>
    <mergeCell ref="U12:V12"/>
    <mergeCell ref="W12:Y12"/>
    <mergeCell ref="B13:C13"/>
    <mergeCell ref="D13:Q13"/>
    <mergeCell ref="U13:V13"/>
    <mergeCell ref="W13:Y13"/>
    <mergeCell ref="B14:C14"/>
    <mergeCell ref="D14:Q14"/>
    <mergeCell ref="U14:V14"/>
    <mergeCell ref="W14:Y14"/>
    <mergeCell ref="C38:K38"/>
    <mergeCell ref="N38:O38"/>
    <mergeCell ref="S38:T38"/>
    <mergeCell ref="W38:Y38"/>
    <mergeCell ref="S39:U39"/>
    <mergeCell ref="W39:Y39"/>
    <mergeCell ref="B84:C84"/>
    <mergeCell ref="B85:C85"/>
    <mergeCell ref="B86:C86"/>
    <mergeCell ref="B87:C87"/>
    <mergeCell ref="B88:C88"/>
    <mergeCell ref="C114:L114"/>
    <mergeCell ref="X88:Y88"/>
    <mergeCell ref="X77:Y77"/>
    <mergeCell ref="X78:Y78"/>
    <mergeCell ref="X80:Y80"/>
    <mergeCell ref="X81:Y81"/>
    <mergeCell ref="X82:Y82"/>
    <mergeCell ref="X83:Y83"/>
    <mergeCell ref="X84:Y84"/>
    <mergeCell ref="X85:Y85"/>
    <mergeCell ref="E95:R95"/>
    <mergeCell ref="W93:Y93"/>
    <mergeCell ref="W95:Y95"/>
    <mergeCell ref="X89:Y89"/>
    <mergeCell ref="X86:Y86"/>
    <mergeCell ref="X87:Y87"/>
    <mergeCell ref="X79:Y79"/>
    <mergeCell ref="B77:C77"/>
    <mergeCell ref="B78:C78"/>
    <mergeCell ref="B79:C79"/>
    <mergeCell ref="B80:C80"/>
    <mergeCell ref="B81:C81"/>
    <mergeCell ref="B82:C82"/>
    <mergeCell ref="B83:C83"/>
    <mergeCell ref="W44:Y44"/>
    <mergeCell ref="W45:Y45"/>
    <mergeCell ref="W50:Y50"/>
    <mergeCell ref="W51:Y51"/>
    <mergeCell ref="T75:T76"/>
    <mergeCell ref="W75:W76"/>
    <mergeCell ref="X75:Y76"/>
    <mergeCell ref="W63:Y64"/>
    <mergeCell ref="C55:Y55"/>
    <mergeCell ref="A58:J58"/>
    <mergeCell ref="L58:U58"/>
    <mergeCell ref="W58:Y58"/>
    <mergeCell ref="W59:Y59"/>
    <mergeCell ref="H61:J61"/>
    <mergeCell ref="B66:C66"/>
    <mergeCell ref="D66:Q66"/>
    <mergeCell ref="U66:V66"/>
    <mergeCell ref="W66:Y66"/>
    <mergeCell ref="B67:C67"/>
    <mergeCell ref="D67:Q67"/>
    <mergeCell ref="U67:V67"/>
    <mergeCell ref="W67:Y67"/>
    <mergeCell ref="X61:Y61"/>
    <mergeCell ref="R63:R64"/>
    <mergeCell ref="W74:Y74"/>
    <mergeCell ref="A74:C75"/>
    <mergeCell ref="A76:C76"/>
    <mergeCell ref="B68:C68"/>
    <mergeCell ref="D68:Q68"/>
    <mergeCell ref="U68:V68"/>
    <mergeCell ref="W68:Y68"/>
    <mergeCell ref="T70:Y70"/>
    <mergeCell ref="A73:Y73"/>
    <mergeCell ref="Q74:T74"/>
    <mergeCell ref="U74:V74"/>
    <mergeCell ref="Q75:Q76"/>
    <mergeCell ref="U75:V75"/>
    <mergeCell ref="D76:P76"/>
    <mergeCell ref="R75:R76"/>
    <mergeCell ref="S75:S76"/>
    <mergeCell ref="D74:P75"/>
    <mergeCell ref="A64:C64"/>
    <mergeCell ref="D64:Q64"/>
    <mergeCell ref="B65:C65"/>
    <mergeCell ref="D65:Q65"/>
    <mergeCell ref="U65:V65"/>
    <mergeCell ref="W65:Y65"/>
    <mergeCell ref="H62:J62"/>
    <mergeCell ref="L62:N62"/>
    <mergeCell ref="A63:C63"/>
    <mergeCell ref="D63:Q63"/>
    <mergeCell ref="U63:V64"/>
    <mergeCell ref="S63:S64"/>
    <mergeCell ref="T63:T64"/>
    <mergeCell ref="D49:Q49"/>
    <mergeCell ref="U49:V49"/>
    <mergeCell ref="L61:N61"/>
    <mergeCell ref="Q61:U61"/>
    <mergeCell ref="W52:Y52"/>
    <mergeCell ref="B53:C53"/>
    <mergeCell ref="D53:Q53"/>
    <mergeCell ref="U53:V53"/>
    <mergeCell ref="W53:Y53"/>
    <mergeCell ref="B51:C51"/>
    <mergeCell ref="D51:Q51"/>
    <mergeCell ref="U51:V51"/>
    <mergeCell ref="B52:C52"/>
    <mergeCell ref="D52:Q52"/>
    <mergeCell ref="U52:V52"/>
    <mergeCell ref="W49:Y49"/>
    <mergeCell ref="U31:V31"/>
    <mergeCell ref="W31:Y31"/>
    <mergeCell ref="B32:C32"/>
    <mergeCell ref="D32:Q32"/>
    <mergeCell ref="U32:V32"/>
    <mergeCell ref="W32:Y32"/>
    <mergeCell ref="A41:C42"/>
    <mergeCell ref="D41:Q42"/>
    <mergeCell ref="R41:S42"/>
    <mergeCell ref="T41:V41"/>
    <mergeCell ref="W41:Y42"/>
    <mergeCell ref="T42:T43"/>
    <mergeCell ref="U42:V43"/>
    <mergeCell ref="A43:C43"/>
    <mergeCell ref="D43:Q43"/>
    <mergeCell ref="W43:Y43"/>
    <mergeCell ref="C117:E117"/>
    <mergeCell ref="A102:L112"/>
    <mergeCell ref="I100:K100"/>
    <mergeCell ref="W96:Y96"/>
    <mergeCell ref="E93:R93"/>
    <mergeCell ref="C116:E116"/>
    <mergeCell ref="B33:C33"/>
    <mergeCell ref="D33:Q33"/>
    <mergeCell ref="U33:V33"/>
    <mergeCell ref="W33:Y33"/>
    <mergeCell ref="T35:Y35"/>
    <mergeCell ref="B50:C50"/>
    <mergeCell ref="D50:Q50"/>
    <mergeCell ref="U50:V50"/>
    <mergeCell ref="B45:C45"/>
    <mergeCell ref="D45:Q45"/>
    <mergeCell ref="U45:V45"/>
    <mergeCell ref="B44:C44"/>
    <mergeCell ref="D44:Q44"/>
    <mergeCell ref="U44:V44"/>
    <mergeCell ref="B46:C46"/>
    <mergeCell ref="D46:Q46"/>
    <mergeCell ref="U46:V46"/>
    <mergeCell ref="B49:C49"/>
    <mergeCell ref="I99:K99"/>
    <mergeCell ref="A99:G99"/>
    <mergeCell ref="B9:C9"/>
    <mergeCell ref="D9:Q9"/>
    <mergeCell ref="U9:V9"/>
    <mergeCell ref="B15:C15"/>
    <mergeCell ref="D15:Q15"/>
    <mergeCell ref="U15:V15"/>
    <mergeCell ref="W16:Y16"/>
    <mergeCell ref="W15:Y15"/>
    <mergeCell ref="H27:J27"/>
    <mergeCell ref="L27:N27"/>
    <mergeCell ref="A28:C28"/>
    <mergeCell ref="D28:Q28"/>
    <mergeCell ref="U28:V29"/>
    <mergeCell ref="R28:R29"/>
    <mergeCell ref="D70:Q70"/>
    <mergeCell ref="D18:Q18"/>
    <mergeCell ref="U18:V18"/>
    <mergeCell ref="W18:Y18"/>
    <mergeCell ref="S28:S29"/>
    <mergeCell ref="T28:T29"/>
    <mergeCell ref="W28:Y29"/>
    <mergeCell ref="A29:C29"/>
    <mergeCell ref="AA3:AA33"/>
    <mergeCell ref="C3:K3"/>
    <mergeCell ref="N3:O3"/>
    <mergeCell ref="S3:T3"/>
    <mergeCell ref="W3:Y3"/>
    <mergeCell ref="S4:U4"/>
    <mergeCell ref="W4:Y4"/>
    <mergeCell ref="W6:Y7"/>
    <mergeCell ref="T7:T8"/>
    <mergeCell ref="U7:V8"/>
    <mergeCell ref="A8:C8"/>
    <mergeCell ref="D8:Q8"/>
    <mergeCell ref="A6:C7"/>
    <mergeCell ref="D6:Q7"/>
    <mergeCell ref="R6:S7"/>
    <mergeCell ref="T6:V6"/>
    <mergeCell ref="W8:Y8"/>
    <mergeCell ref="W10:Y10"/>
    <mergeCell ref="W9:Y9"/>
    <mergeCell ref="D29:Q29"/>
    <mergeCell ref="B30:C30"/>
    <mergeCell ref="D30:Q30"/>
    <mergeCell ref="U30:V30"/>
    <mergeCell ref="W30:Y30"/>
    <mergeCell ref="AA38:AA68"/>
    <mergeCell ref="B16:C16"/>
    <mergeCell ref="D16:Q16"/>
    <mergeCell ref="U16:V16"/>
    <mergeCell ref="B17:C17"/>
    <mergeCell ref="D17:Q17"/>
    <mergeCell ref="U17:V17"/>
    <mergeCell ref="B10:C10"/>
    <mergeCell ref="D35:Q35"/>
    <mergeCell ref="X26:Y26"/>
    <mergeCell ref="D10:Q10"/>
    <mergeCell ref="U10:V10"/>
    <mergeCell ref="W17:Y17"/>
    <mergeCell ref="B18:C18"/>
    <mergeCell ref="B31:C31"/>
    <mergeCell ref="D31:Q31"/>
    <mergeCell ref="C20:Y20"/>
    <mergeCell ref="A23:J23"/>
    <mergeCell ref="L23:U23"/>
    <mergeCell ref="W23:Y23"/>
    <mergeCell ref="W24:Y24"/>
    <mergeCell ref="H26:J26"/>
    <mergeCell ref="L26:N26"/>
    <mergeCell ref="Q26:U26"/>
  </mergeCells>
  <phoneticPr fontId="8" type="noConversion"/>
  <conditionalFormatting sqref="T9:V14 U15:V15 T15:T18">
    <cfRule type="expression" dxfId="3" priority="2">
      <formula>$AD9=4</formula>
    </cfRule>
  </conditionalFormatting>
  <conditionalFormatting sqref="T44:V49 U50:V50 T50:T53">
    <cfRule type="expression" dxfId="2" priority="1">
      <formula>$AD44=4</formula>
    </cfRule>
  </conditionalFormatting>
  <conditionalFormatting sqref="W77:W88">
    <cfRule type="expression" dxfId="1" priority="3">
      <formula>X77="FAILED"</formula>
    </cfRule>
  </conditionalFormatting>
  <dataValidations count="2">
    <dataValidation type="list" allowBlank="1" showInputMessage="1" showErrorMessage="1" sqref="C39 B9:C18 B30:C33 B65:C68 C4 B44:C53" xr:uid="{80DF73F8-6D15-44B5-90AF-E4E2155335D1}">
      <formula1>"ACADEMIC, TECHPRO"</formula1>
    </dataValidation>
    <dataValidation type="list" allowBlank="1" showInputMessage="1" showErrorMessage="1" sqref="D65:Q68 D9:Q18 D30:Q33 D44:Q53" xr:uid="{1C870D1C-037C-4FFE-BA4D-5CE47A522405}">
      <formula1>INDIRECT($AC9)</formula1>
    </dataValidation>
  </dataValidations>
  <printOptions horizontalCentered="1"/>
  <pageMargins left="0.19685039370078741" right="0.19685039370078741" top="0.19685039370078741" bottom="0.15748031496062992" header="0" footer="0"/>
  <pageSetup paperSize="177"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879A-52BA-45C4-8103-4AF0E469740E}">
  <sheetPr>
    <tabColor rgb="FF0070C0"/>
    <pageSetUpPr fitToPage="1"/>
  </sheetPr>
  <dimension ref="A1:J62"/>
  <sheetViews>
    <sheetView showGridLines="0" tabSelected="1" view="pageBreakPreview" zoomScale="140" zoomScaleNormal="150" zoomScaleSheetLayoutView="120" workbookViewId="0"/>
  </sheetViews>
  <sheetFormatPr defaultColWidth="0" defaultRowHeight="13.9" zeroHeight="1"/>
  <cols>
    <col min="1" max="1" width="4.42578125" style="104" customWidth="1"/>
    <col min="2" max="2" width="3.28515625" style="104" customWidth="1"/>
    <col min="3" max="3" width="1.140625" style="104" customWidth="1"/>
    <col min="4" max="4" width="12.28515625" style="104" customWidth="1"/>
    <col min="5" max="5" width="1.140625" style="104" customWidth="1"/>
    <col min="6" max="6" width="53.28515625" style="104" customWidth="1"/>
    <col min="7" max="7" width="1.140625" style="104" customWidth="1"/>
    <col min="8" max="8" width="7.7109375" style="104" customWidth="1"/>
    <col min="9" max="9" width="8.28515625" style="107" hidden="1" customWidth="1"/>
    <col min="10" max="10" width="24.7109375" style="104" hidden="1" customWidth="1"/>
    <col min="11" max="16384" width="8.85546875" style="104" hidden="1"/>
  </cols>
  <sheetData>
    <row r="1" spans="1:10">
      <c r="A1" s="106"/>
      <c r="B1" s="106"/>
      <c r="C1" s="106"/>
      <c r="D1" s="106"/>
      <c r="E1" s="106"/>
      <c r="F1" s="168"/>
      <c r="G1" s="168"/>
      <c r="H1" s="168" t="s">
        <v>98</v>
      </c>
    </row>
    <row r="2" spans="1:10" ht="4.9000000000000004" customHeight="1"/>
    <row r="3" spans="1:10">
      <c r="A3" s="103" t="s">
        <v>116</v>
      </c>
    </row>
    <row r="4" spans="1:10">
      <c r="A4" s="187" t="s">
        <v>117</v>
      </c>
    </row>
    <row r="5" spans="1:10" ht="4.9000000000000004" customHeight="1"/>
    <row r="6" spans="1:10">
      <c r="A6" s="103" t="s">
        <v>118</v>
      </c>
      <c r="I6" s="108" t="s">
        <v>47</v>
      </c>
      <c r="J6" s="103" t="s">
        <v>119</v>
      </c>
    </row>
    <row r="7" spans="1:10">
      <c r="A7" s="107">
        <v>1</v>
      </c>
      <c r="B7" s="109" t="str">
        <f>IF(I7="PASSED","P"," ")</f>
        <v xml:space="preserve"> </v>
      </c>
      <c r="C7" s="110"/>
      <c r="D7" s="430" t="s">
        <v>56</v>
      </c>
      <c r="E7" s="430"/>
      <c r="F7" s="430"/>
      <c r="G7" s="430"/>
      <c r="H7" s="430"/>
      <c r="I7" s="107" t="str">
        <f>_xlfn.XLOOKUP(D7,FRONT!$D$104:$D$122,FRONT!$X$104:$X$122)</f>
        <v/>
      </c>
      <c r="J7" s="111"/>
    </row>
    <row r="8" spans="1:10">
      <c r="A8" s="189" t="s">
        <v>58</v>
      </c>
      <c r="B8" s="109" t="str">
        <f t="shared" ref="B8:B13" si="0">IF(I8="PASSED","P"," ")</f>
        <v xml:space="preserve"> </v>
      </c>
      <c r="C8" s="110"/>
      <c r="D8" s="431" t="s">
        <v>59</v>
      </c>
      <c r="E8" s="431"/>
      <c r="F8" s="431"/>
      <c r="G8" s="431"/>
      <c r="H8" s="431"/>
      <c r="I8" s="107" t="str">
        <f>_xlfn.XLOOKUP(D8,FRONT!$D$104:$D$122,FRONT!$X$104:$X$122)</f>
        <v/>
      </c>
      <c r="J8" s="112"/>
    </row>
    <row r="9" spans="1:10">
      <c r="A9" s="189" t="s">
        <v>60</v>
      </c>
      <c r="B9" s="109" t="str">
        <f t="shared" si="0"/>
        <v xml:space="preserve"> </v>
      </c>
      <c r="C9" s="110"/>
      <c r="D9" s="431" t="s">
        <v>61</v>
      </c>
      <c r="E9" s="431"/>
      <c r="F9" s="431"/>
      <c r="G9" s="431"/>
      <c r="H9" s="431"/>
      <c r="I9" s="107" t="str">
        <f>_xlfn.XLOOKUP(D9,FRONT!$D$104:$D$122,FRONT!$X$104:$X$122)</f>
        <v/>
      </c>
      <c r="J9" s="188"/>
    </row>
    <row r="10" spans="1:10">
      <c r="A10" s="107">
        <v>2</v>
      </c>
      <c r="B10" s="109" t="str">
        <f t="shared" si="0"/>
        <v xml:space="preserve"> </v>
      </c>
      <c r="C10" s="110"/>
      <c r="D10" s="432" t="s">
        <v>62</v>
      </c>
      <c r="E10" s="432"/>
      <c r="F10" s="432"/>
      <c r="G10" s="432"/>
      <c r="H10" s="432"/>
      <c r="I10" s="107" t="str">
        <f>_xlfn.XLOOKUP(D10,FRONT!$D$104:$D$122,FRONT!$X$104:$X$122)</f>
        <v/>
      </c>
    </row>
    <row r="11" spans="1:10">
      <c r="A11" s="107">
        <v>3</v>
      </c>
      <c r="B11" s="109" t="str">
        <f t="shared" si="0"/>
        <v xml:space="preserve"> </v>
      </c>
      <c r="C11" s="110"/>
      <c r="D11" s="432" t="s">
        <v>63</v>
      </c>
      <c r="E11" s="432"/>
      <c r="F11" s="432"/>
      <c r="G11" s="432"/>
      <c r="H11" s="432"/>
      <c r="I11" s="107" t="str">
        <f>_xlfn.XLOOKUP(D11,FRONT!$D$104:$D$122,FRONT!$X$104:$X$122)</f>
        <v/>
      </c>
    </row>
    <row r="12" spans="1:10">
      <c r="A12" s="107">
        <v>4</v>
      </c>
      <c r="B12" s="109" t="str">
        <f t="shared" si="0"/>
        <v xml:space="preserve"> </v>
      </c>
      <c r="C12" s="110"/>
      <c r="D12" s="432" t="s">
        <v>64</v>
      </c>
      <c r="E12" s="432"/>
      <c r="F12" s="432"/>
      <c r="G12" s="432"/>
      <c r="H12" s="432"/>
      <c r="I12" s="107" t="str">
        <f>_xlfn.XLOOKUP(D12,FRONT!$D$104:$D$122,FRONT!$X$104:$X$122)</f>
        <v/>
      </c>
    </row>
    <row r="13" spans="1:10">
      <c r="A13" s="107">
        <v>5</v>
      </c>
      <c r="B13" s="109" t="str">
        <f t="shared" si="0"/>
        <v xml:space="preserve"> </v>
      </c>
      <c r="C13" s="110"/>
      <c r="D13" s="432" t="s">
        <v>65</v>
      </c>
      <c r="E13" s="432"/>
      <c r="F13" s="432"/>
      <c r="G13" s="432"/>
      <c r="H13" s="432"/>
      <c r="I13" s="107" t="str">
        <f>_xlfn.XLOOKUP(D13,FRONT!$D$104:$D$122,FRONT!$X$104:$X$122)</f>
        <v/>
      </c>
    </row>
    <row r="14" spans="1:10" ht="14.45" thickBot="1">
      <c r="A14" s="113"/>
      <c r="B14" s="113"/>
      <c r="C14" s="113"/>
      <c r="D14" s="113"/>
      <c r="E14" s="113"/>
      <c r="F14" s="113"/>
      <c r="G14" s="113"/>
      <c r="H14" s="113"/>
    </row>
    <row r="15" spans="1:10" ht="4.9000000000000004" customHeight="1" thickTop="1">
      <c r="A15" s="108"/>
      <c r="B15" s="108"/>
      <c r="C15" s="108"/>
      <c r="D15" s="108"/>
      <c r="E15" s="108"/>
    </row>
    <row r="16" spans="1:10">
      <c r="A16" s="114" t="s">
        <v>120</v>
      </c>
      <c r="B16" s="115"/>
      <c r="C16" s="115"/>
      <c r="D16" s="115"/>
      <c r="E16" s="115"/>
      <c r="F16" s="115"/>
      <c r="G16" s="115"/>
      <c r="H16" s="115"/>
    </row>
    <row r="17" spans="1:9">
      <c r="A17" s="107">
        <v>1</v>
      </c>
      <c r="B17" s="109" t="str">
        <f t="shared" ref="B17:B31" si="1">IF(I17="PASSED","P"," ")</f>
        <v xml:space="preserve"> </v>
      </c>
      <c r="D17" s="429"/>
      <c r="E17" s="429"/>
      <c r="F17" s="429"/>
      <c r="G17" s="429"/>
      <c r="H17" s="429"/>
      <c r="I17" s="107" t="str">
        <f>IFERROR(_xlfn.XLOOKUP(D17,FRONT!$D$104:$D$122,FRONT!$X$104:$X$122),FALSE)</f>
        <v/>
      </c>
    </row>
    <row r="18" spans="1:9">
      <c r="A18" s="107">
        <v>2</v>
      </c>
      <c r="B18" s="109" t="str">
        <f t="shared" si="1"/>
        <v xml:space="preserve"> </v>
      </c>
      <c r="D18" s="428"/>
      <c r="E18" s="428"/>
      <c r="F18" s="428"/>
      <c r="G18" s="428"/>
      <c r="H18" s="428"/>
      <c r="I18" s="107" t="str">
        <f>IFERROR(_xlfn.XLOOKUP(D18,FRONT!$D$104:$D$122,FRONT!$X$104:$X$122),FALSE)</f>
        <v/>
      </c>
    </row>
    <row r="19" spans="1:9">
      <c r="A19" s="107">
        <v>3</v>
      </c>
      <c r="B19" s="109" t="str">
        <f t="shared" si="1"/>
        <v xml:space="preserve"> </v>
      </c>
      <c r="D19" s="428"/>
      <c r="E19" s="428"/>
      <c r="F19" s="428"/>
      <c r="G19" s="428"/>
      <c r="H19" s="428"/>
      <c r="I19" s="107" t="str">
        <f>IFERROR(_xlfn.XLOOKUP(D19,FRONT!$D$104:$D$122,FRONT!$X$104:$X$122),FALSE)</f>
        <v/>
      </c>
    </row>
    <row r="20" spans="1:9">
      <c r="A20" s="107">
        <v>4</v>
      </c>
      <c r="B20" s="109" t="str">
        <f t="shared" si="1"/>
        <v xml:space="preserve"> </v>
      </c>
      <c r="D20" s="428"/>
      <c r="E20" s="428"/>
      <c r="F20" s="428"/>
      <c r="G20" s="428"/>
      <c r="H20" s="428"/>
      <c r="I20" s="107" t="str">
        <f>IFERROR(_xlfn.XLOOKUP(D20,FRONT!$D$104:$D$122,FRONT!$X$104:$X$122),FALSE)</f>
        <v/>
      </c>
    </row>
    <row r="21" spans="1:9">
      <c r="A21" s="107">
        <v>5</v>
      </c>
      <c r="B21" s="109" t="str">
        <f t="shared" si="1"/>
        <v xml:space="preserve"> </v>
      </c>
      <c r="D21" s="428"/>
      <c r="E21" s="428"/>
      <c r="F21" s="428"/>
      <c r="G21" s="428"/>
      <c r="H21" s="428"/>
      <c r="I21" s="107" t="str">
        <f>IFERROR(_xlfn.XLOOKUP(D21,FRONT!$D$104:$D$122,FRONT!$X$104:$X$122),FALSE)</f>
        <v/>
      </c>
    </row>
    <row r="22" spans="1:9">
      <c r="A22" s="107">
        <v>6</v>
      </c>
      <c r="B22" s="109" t="str">
        <f t="shared" si="1"/>
        <v xml:space="preserve"> </v>
      </c>
      <c r="D22" s="428"/>
      <c r="E22" s="428"/>
      <c r="F22" s="428"/>
      <c r="G22" s="428"/>
      <c r="H22" s="428"/>
      <c r="I22" s="107" t="str">
        <f>IFERROR(_xlfn.XLOOKUP(D22,FRONT!$D$104:$D$122,FRONT!$X$104:$X$122),FALSE)</f>
        <v/>
      </c>
    </row>
    <row r="23" spans="1:9">
      <c r="A23" s="107">
        <v>7</v>
      </c>
      <c r="B23" s="109" t="str">
        <f t="shared" si="1"/>
        <v xml:space="preserve"> </v>
      </c>
      <c r="D23" s="428"/>
      <c r="E23" s="428"/>
      <c r="F23" s="428"/>
      <c r="G23" s="428"/>
      <c r="H23" s="428"/>
      <c r="I23" s="107" t="str">
        <f>IFERROR(_xlfn.XLOOKUP(D23,FRONT!$D$104:$D$122,FRONT!$X$104:$X$122),FALSE)</f>
        <v/>
      </c>
    </row>
    <row r="24" spans="1:9">
      <c r="A24" s="107">
        <v>8</v>
      </c>
      <c r="B24" s="109" t="str">
        <f t="shared" si="1"/>
        <v xml:space="preserve"> </v>
      </c>
      <c r="D24" s="428"/>
      <c r="E24" s="428"/>
      <c r="F24" s="428"/>
      <c r="G24" s="428"/>
      <c r="H24" s="428"/>
      <c r="I24" s="107" t="str">
        <f>IFERROR(_xlfn.XLOOKUP(D24,FRONT!$D$104:$D$122,FRONT!$X$104:$X$122),FALSE)</f>
        <v/>
      </c>
    </row>
    <row r="25" spans="1:9">
      <c r="A25" s="107">
        <v>9</v>
      </c>
      <c r="B25" s="109" t="str">
        <f t="shared" si="1"/>
        <v xml:space="preserve"> </v>
      </c>
      <c r="D25" s="428"/>
      <c r="E25" s="428"/>
      <c r="F25" s="428"/>
      <c r="G25" s="428"/>
      <c r="H25" s="428"/>
      <c r="I25" s="107" t="str">
        <f>IFERROR(_xlfn.XLOOKUP(D25,FRONT!$D$104:$D$122,FRONT!$X$104:$X$122),FALSE)</f>
        <v/>
      </c>
    </row>
    <row r="26" spans="1:9">
      <c r="A26" s="107">
        <v>10</v>
      </c>
      <c r="B26" s="109" t="str">
        <f t="shared" si="1"/>
        <v xml:space="preserve"> </v>
      </c>
      <c r="D26" s="428"/>
      <c r="E26" s="428"/>
      <c r="F26" s="428"/>
      <c r="G26" s="428"/>
      <c r="H26" s="428"/>
      <c r="I26" s="107" t="str">
        <f>IFERROR(_xlfn.XLOOKUP(D26,FRONT!$D$104:$D$122,FRONT!$X$104:$X$122),FALSE)</f>
        <v/>
      </c>
    </row>
    <row r="27" spans="1:9">
      <c r="A27" s="107">
        <v>11</v>
      </c>
      <c r="B27" s="109" t="str">
        <f t="shared" si="1"/>
        <v xml:space="preserve"> </v>
      </c>
      <c r="D27" s="428"/>
      <c r="E27" s="428"/>
      <c r="F27" s="428"/>
      <c r="G27" s="428"/>
      <c r="H27" s="428"/>
      <c r="I27" s="107" t="str">
        <f>IFERROR(_xlfn.XLOOKUP(D27,FRONT!$D$104:$D$122,FRONT!$X$104:$X$122),FALSE)</f>
        <v/>
      </c>
    </row>
    <row r="28" spans="1:9">
      <c r="A28" s="107">
        <v>12</v>
      </c>
      <c r="B28" s="109" t="str">
        <f t="shared" si="1"/>
        <v xml:space="preserve"> </v>
      </c>
      <c r="D28" s="428"/>
      <c r="E28" s="428"/>
      <c r="F28" s="428"/>
      <c r="G28" s="428"/>
      <c r="H28" s="428"/>
      <c r="I28" s="107" t="str">
        <f>IFERROR(_xlfn.XLOOKUP(D28,FRONT!$D$104:$D$122,FRONT!$X$104:$X$122),FALSE)</f>
        <v/>
      </c>
    </row>
    <row r="29" spans="1:9">
      <c r="A29" s="107">
        <v>13</v>
      </c>
      <c r="B29" s="109" t="str">
        <f t="shared" si="1"/>
        <v xml:space="preserve"> </v>
      </c>
      <c r="D29" s="428"/>
      <c r="E29" s="428"/>
      <c r="F29" s="428"/>
      <c r="G29" s="428"/>
      <c r="H29" s="428"/>
      <c r="I29" s="107" t="str">
        <f>IFERROR(_xlfn.XLOOKUP(D29,FRONT!$D$104:$D$122,FRONT!$X$104:$X$122),FALSE)</f>
        <v/>
      </c>
    </row>
    <row r="30" spans="1:9">
      <c r="A30" s="107">
        <v>14</v>
      </c>
      <c r="B30" s="109" t="str">
        <f t="shared" si="1"/>
        <v xml:space="preserve"> </v>
      </c>
      <c r="D30" s="428"/>
      <c r="E30" s="428"/>
      <c r="F30" s="428"/>
      <c r="G30" s="428"/>
      <c r="H30" s="428"/>
      <c r="I30" s="107" t="str">
        <f>IFERROR(_xlfn.XLOOKUP(D30,FRONT!$D$104:$D$122,FRONT!$X$104:$X$122),FALSE)</f>
        <v/>
      </c>
    </row>
    <row r="31" spans="1:9">
      <c r="A31" s="107">
        <v>15</v>
      </c>
      <c r="B31" s="109" t="str">
        <f t="shared" si="1"/>
        <v xml:space="preserve"> </v>
      </c>
      <c r="D31" s="428"/>
      <c r="E31" s="428"/>
      <c r="F31" s="428"/>
      <c r="G31" s="428"/>
      <c r="H31" s="428"/>
      <c r="I31" s="107" t="str">
        <f>IFERROR(_xlfn.XLOOKUP(D31,FRONT!$D$104:$D$122,FRONT!$X$104:$X$122),FALSE)</f>
        <v/>
      </c>
    </row>
    <row r="32" spans="1:9" ht="4.9000000000000004" customHeight="1">
      <c r="D32" s="201"/>
      <c r="E32" s="201"/>
      <c r="F32" s="201"/>
      <c r="G32" s="201"/>
      <c r="H32" s="201"/>
    </row>
    <row r="33" spans="1:9">
      <c r="A33" s="114" t="s">
        <v>121</v>
      </c>
      <c r="B33" s="115"/>
      <c r="C33" s="115"/>
      <c r="D33" s="200"/>
      <c r="E33" s="200"/>
      <c r="F33" s="115"/>
      <c r="G33" s="115"/>
      <c r="H33" s="115"/>
    </row>
    <row r="34" spans="1:9">
      <c r="A34" s="107">
        <v>1</v>
      </c>
      <c r="B34" s="109" t="str">
        <f t="shared" ref="B34:B48" si="2">IF(I34="PASSED","P"," ")</f>
        <v xml:space="preserve"> </v>
      </c>
      <c r="D34" s="428"/>
      <c r="E34" s="428"/>
      <c r="F34" s="428"/>
      <c r="G34" s="428"/>
      <c r="H34" s="428"/>
      <c r="I34" s="107" t="str">
        <f>IFERROR(_xlfn.XLOOKUP(D34,FRONT!$D$104:$D$122,FRONT!$X$104:$X$122),FALSE)</f>
        <v/>
      </c>
    </row>
    <row r="35" spans="1:9">
      <c r="A35" s="107">
        <v>2</v>
      </c>
      <c r="B35" s="109" t="str">
        <f t="shared" si="2"/>
        <v xml:space="preserve"> </v>
      </c>
      <c r="D35" s="428"/>
      <c r="E35" s="428"/>
      <c r="F35" s="428"/>
      <c r="G35" s="428"/>
      <c r="H35" s="428"/>
      <c r="I35" s="107" t="str">
        <f>IFERROR(_xlfn.XLOOKUP(D35,FRONT!$D$104:$D$122,FRONT!$X$104:$X$122),FALSE)</f>
        <v/>
      </c>
    </row>
    <row r="36" spans="1:9">
      <c r="A36" s="107">
        <v>3</v>
      </c>
      <c r="B36" s="109" t="str">
        <f t="shared" si="2"/>
        <v xml:space="preserve"> </v>
      </c>
      <c r="D36" s="428"/>
      <c r="E36" s="428"/>
      <c r="F36" s="428"/>
      <c r="G36" s="428"/>
      <c r="H36" s="428"/>
      <c r="I36" s="107" t="str">
        <f>IFERROR(_xlfn.XLOOKUP(D36,FRONT!$D$104:$D$122,FRONT!$X$104:$X$122),FALSE)</f>
        <v/>
      </c>
    </row>
    <row r="37" spans="1:9">
      <c r="A37" s="107">
        <v>4</v>
      </c>
      <c r="B37" s="109" t="str">
        <f t="shared" si="2"/>
        <v xml:space="preserve"> </v>
      </c>
      <c r="D37" s="428"/>
      <c r="E37" s="428"/>
      <c r="F37" s="428"/>
      <c r="G37" s="428"/>
      <c r="H37" s="428"/>
      <c r="I37" s="107" t="str">
        <f>IFERROR(_xlfn.XLOOKUP(D37,FRONT!$D$104:$D$122,FRONT!$X$104:$X$122),FALSE)</f>
        <v/>
      </c>
    </row>
    <row r="38" spans="1:9">
      <c r="A38" s="107">
        <v>5</v>
      </c>
      <c r="B38" s="109" t="str">
        <f t="shared" si="2"/>
        <v xml:space="preserve"> </v>
      </c>
      <c r="D38" s="428"/>
      <c r="E38" s="428"/>
      <c r="F38" s="428"/>
      <c r="G38" s="428"/>
      <c r="H38" s="428"/>
      <c r="I38" s="107" t="str">
        <f>IFERROR(_xlfn.XLOOKUP(D38,FRONT!$D$104:$D$122,FRONT!$X$104:$X$122),FALSE)</f>
        <v/>
      </c>
    </row>
    <row r="39" spans="1:9">
      <c r="A39" s="107">
        <v>6</v>
      </c>
      <c r="B39" s="109" t="str">
        <f t="shared" si="2"/>
        <v xml:space="preserve"> </v>
      </c>
      <c r="D39" s="428"/>
      <c r="E39" s="428"/>
      <c r="F39" s="428"/>
      <c r="G39" s="428"/>
      <c r="H39" s="428"/>
      <c r="I39" s="107" t="str">
        <f>IFERROR(_xlfn.XLOOKUP(D39,FRONT!$D$104:$D$122,FRONT!$X$104:$X$122),FALSE)</f>
        <v/>
      </c>
    </row>
    <row r="40" spans="1:9">
      <c r="A40" s="107">
        <v>7</v>
      </c>
      <c r="B40" s="109" t="str">
        <f t="shared" si="2"/>
        <v xml:space="preserve"> </v>
      </c>
      <c r="D40" s="428"/>
      <c r="E40" s="428"/>
      <c r="F40" s="428"/>
      <c r="G40" s="428"/>
      <c r="H40" s="428"/>
      <c r="I40" s="107" t="str">
        <f>IFERROR(_xlfn.XLOOKUP(D40,FRONT!$D$104:$D$122,FRONT!$X$104:$X$122),FALSE)</f>
        <v/>
      </c>
    </row>
    <row r="41" spans="1:9">
      <c r="A41" s="107">
        <v>8</v>
      </c>
      <c r="B41" s="109" t="str">
        <f t="shared" si="2"/>
        <v xml:space="preserve"> </v>
      </c>
      <c r="D41" s="428"/>
      <c r="E41" s="428"/>
      <c r="F41" s="428"/>
      <c r="G41" s="428"/>
      <c r="H41" s="428"/>
      <c r="I41" s="107" t="str">
        <f>IFERROR(_xlfn.XLOOKUP(D41,FRONT!$D$104:$D$122,FRONT!$X$104:$X$122),FALSE)</f>
        <v/>
      </c>
    </row>
    <row r="42" spans="1:9">
      <c r="A42" s="107">
        <v>9</v>
      </c>
      <c r="B42" s="109" t="str">
        <f t="shared" si="2"/>
        <v xml:space="preserve"> </v>
      </c>
      <c r="D42" s="428"/>
      <c r="E42" s="428"/>
      <c r="F42" s="428"/>
      <c r="G42" s="428"/>
      <c r="H42" s="428"/>
      <c r="I42" s="107" t="str">
        <f>IFERROR(_xlfn.XLOOKUP(D42,FRONT!$D$104:$D$122,FRONT!$X$104:$X$122),FALSE)</f>
        <v/>
      </c>
    </row>
    <row r="43" spans="1:9">
      <c r="A43" s="107">
        <v>10</v>
      </c>
      <c r="B43" s="109" t="str">
        <f t="shared" si="2"/>
        <v xml:space="preserve"> </v>
      </c>
      <c r="D43" s="428"/>
      <c r="E43" s="428"/>
      <c r="F43" s="428"/>
      <c r="G43" s="428"/>
      <c r="H43" s="428"/>
      <c r="I43" s="107" t="str">
        <f>IFERROR(_xlfn.XLOOKUP(D43,FRONT!$D$104:$D$122,FRONT!$X$104:$X$122),FALSE)</f>
        <v/>
      </c>
    </row>
    <row r="44" spans="1:9">
      <c r="A44" s="107">
        <v>11</v>
      </c>
      <c r="B44" s="109" t="str">
        <f t="shared" si="2"/>
        <v xml:space="preserve"> </v>
      </c>
      <c r="D44" s="428"/>
      <c r="E44" s="428"/>
      <c r="F44" s="428"/>
      <c r="G44" s="428"/>
      <c r="H44" s="428"/>
      <c r="I44" s="107" t="str">
        <f>IFERROR(_xlfn.XLOOKUP(D44,FRONT!$D$104:$D$122,FRONT!$X$104:$X$122),FALSE)</f>
        <v/>
      </c>
    </row>
    <row r="45" spans="1:9">
      <c r="A45" s="107">
        <v>12</v>
      </c>
      <c r="B45" s="109" t="str">
        <f t="shared" si="2"/>
        <v xml:space="preserve"> </v>
      </c>
      <c r="D45" s="428"/>
      <c r="E45" s="428"/>
      <c r="F45" s="428"/>
      <c r="G45" s="428"/>
      <c r="H45" s="428"/>
      <c r="I45" s="107" t="str">
        <f>IFERROR(_xlfn.XLOOKUP(D45,FRONT!$D$104:$D$122,FRONT!$X$104:$X$122),FALSE)</f>
        <v/>
      </c>
    </row>
    <row r="46" spans="1:9">
      <c r="A46" s="107">
        <v>13</v>
      </c>
      <c r="B46" s="109" t="str">
        <f t="shared" si="2"/>
        <v xml:space="preserve"> </v>
      </c>
      <c r="D46" s="428"/>
      <c r="E46" s="428"/>
      <c r="F46" s="428"/>
      <c r="G46" s="428"/>
      <c r="H46" s="428"/>
      <c r="I46" s="107" t="str">
        <f>IFERROR(_xlfn.XLOOKUP(D46,FRONT!$D$104:$D$122,FRONT!$X$104:$X$122),FALSE)</f>
        <v/>
      </c>
    </row>
    <row r="47" spans="1:9">
      <c r="A47" s="107">
        <v>14</v>
      </c>
      <c r="B47" s="109" t="str">
        <f t="shared" si="2"/>
        <v xml:space="preserve"> </v>
      </c>
      <c r="D47" s="428"/>
      <c r="E47" s="428"/>
      <c r="F47" s="428"/>
      <c r="G47" s="428"/>
      <c r="H47" s="428"/>
      <c r="I47" s="107" t="str">
        <f>IFERROR(_xlfn.XLOOKUP(D47,FRONT!$D$104:$D$122,FRONT!$X$104:$X$122),FALSE)</f>
        <v/>
      </c>
    </row>
    <row r="48" spans="1:9">
      <c r="A48" s="107">
        <v>15</v>
      </c>
      <c r="B48" s="109" t="str">
        <f t="shared" si="2"/>
        <v xml:space="preserve"> </v>
      </c>
      <c r="D48" s="428"/>
      <c r="E48" s="428"/>
      <c r="F48" s="428"/>
      <c r="G48" s="428"/>
      <c r="H48" s="428"/>
      <c r="I48" s="107" t="str">
        <f>IFERROR(_xlfn.XLOOKUP(D48,FRONT!$D$104:$D$122,FRONT!$X$104:$X$122),FALSE)</f>
        <v/>
      </c>
    </row>
    <row r="49" spans="1:9" ht="4.9000000000000004" customHeight="1"/>
    <row r="50" spans="1:9">
      <c r="A50" s="103" t="s">
        <v>122</v>
      </c>
      <c r="H50" s="184" t="s">
        <v>123</v>
      </c>
    </row>
    <row r="51" spans="1:9" ht="20.45">
      <c r="A51" s="114"/>
      <c r="B51" s="115"/>
      <c r="C51" s="115"/>
      <c r="D51" s="118" t="s">
        <v>124</v>
      </c>
      <c r="E51" s="114"/>
      <c r="F51" s="114" t="s">
        <v>125</v>
      </c>
      <c r="G51" s="114"/>
      <c r="H51" s="185" t="s">
        <v>126</v>
      </c>
    </row>
    <row r="52" spans="1:9">
      <c r="A52" s="107">
        <v>1</v>
      </c>
      <c r="B52" s="109" t="str">
        <f>IF(I52="PASSED","P"," ")</f>
        <v xml:space="preserve"> </v>
      </c>
      <c r="D52" s="117"/>
      <c r="E52" s="103"/>
      <c r="F52" s="116"/>
      <c r="H52" s="186"/>
      <c r="I52" s="107" t="str">
        <f>IFERROR(_xlfn.XLOOKUP(F52,FRONT!$D$104:$D$122,FRONT!$X$104:$X$122),FALSE)</f>
        <v/>
      </c>
    </row>
    <row r="53" spans="1:9">
      <c r="A53" s="107">
        <v>2</v>
      </c>
      <c r="B53" s="109" t="str">
        <f t="shared" ref="B53:B61" si="3">IF(I53="PASSED","P"," ")</f>
        <v xml:space="preserve"> </v>
      </c>
      <c r="D53" s="117"/>
      <c r="E53" s="103"/>
      <c r="F53" s="116"/>
      <c r="H53" s="186"/>
      <c r="I53" s="107" t="str">
        <f>IFERROR(_xlfn.XLOOKUP(F53,FRONT!$D$104:$D$122,FRONT!$X$104:$X$122),FALSE)</f>
        <v/>
      </c>
    </row>
    <row r="54" spans="1:9">
      <c r="A54" s="107">
        <v>3</v>
      </c>
      <c r="B54" s="109" t="str">
        <f t="shared" si="3"/>
        <v xml:space="preserve"> </v>
      </c>
      <c r="D54" s="117"/>
      <c r="E54" s="103"/>
      <c r="F54" s="116"/>
      <c r="H54" s="186"/>
      <c r="I54" s="107" t="str">
        <f>IFERROR(_xlfn.XLOOKUP(F54,FRONT!$D$104:$D$122,FRONT!$X$104:$X$122),FALSE)</f>
        <v/>
      </c>
    </row>
    <row r="55" spans="1:9">
      <c r="A55" s="107">
        <v>4</v>
      </c>
      <c r="B55" s="109" t="str">
        <f t="shared" si="3"/>
        <v xml:space="preserve"> </v>
      </c>
      <c r="D55" s="117"/>
      <c r="E55" s="103"/>
      <c r="F55" s="116"/>
      <c r="H55" s="186"/>
      <c r="I55" s="107" t="str">
        <f>IFERROR(_xlfn.XLOOKUP(F55,FRONT!$D$104:$D$122,FRONT!$X$104:$X$122),FALSE)</f>
        <v/>
      </c>
    </row>
    <row r="56" spans="1:9">
      <c r="A56" s="107">
        <v>5</v>
      </c>
      <c r="B56" s="109" t="str">
        <f t="shared" si="3"/>
        <v xml:space="preserve"> </v>
      </c>
      <c r="D56" s="117"/>
      <c r="E56" s="103"/>
      <c r="F56" s="116"/>
      <c r="H56" s="186"/>
      <c r="I56" s="107" t="str">
        <f>IFERROR(_xlfn.XLOOKUP(F56,FRONT!$D$104:$D$122,FRONT!$X$104:$X$122),FALSE)</f>
        <v/>
      </c>
    </row>
    <row r="57" spans="1:9">
      <c r="A57" s="107">
        <v>6</v>
      </c>
      <c r="B57" s="109" t="str">
        <f t="shared" si="3"/>
        <v xml:space="preserve"> </v>
      </c>
      <c r="D57" s="117"/>
      <c r="E57" s="103"/>
      <c r="F57" s="116"/>
      <c r="H57" s="186"/>
      <c r="I57" s="107" t="str">
        <f>IFERROR(_xlfn.XLOOKUP(F57,FRONT!$D$104:$D$122,FRONT!$X$104:$X$122),FALSE)</f>
        <v/>
      </c>
    </row>
    <row r="58" spans="1:9">
      <c r="A58" s="107">
        <v>7</v>
      </c>
      <c r="B58" s="109" t="str">
        <f t="shared" si="3"/>
        <v xml:space="preserve"> </v>
      </c>
      <c r="D58" s="117"/>
      <c r="E58" s="103"/>
      <c r="F58" s="116"/>
      <c r="H58" s="186"/>
      <c r="I58" s="107" t="str">
        <f>IFERROR(_xlfn.XLOOKUP(F58,FRONT!$D$104:$D$122,FRONT!$X$104:$X$122),FALSE)</f>
        <v/>
      </c>
    </row>
    <row r="59" spans="1:9">
      <c r="A59" s="107">
        <v>8</v>
      </c>
      <c r="B59" s="109" t="str">
        <f t="shared" si="3"/>
        <v xml:space="preserve"> </v>
      </c>
      <c r="D59" s="117"/>
      <c r="E59" s="103"/>
      <c r="F59" s="116"/>
      <c r="H59" s="186"/>
      <c r="I59" s="107" t="str">
        <f>IFERROR(_xlfn.XLOOKUP(F59,FRONT!$D$104:$D$122,FRONT!$X$104:$X$122),FALSE)</f>
        <v/>
      </c>
    </row>
    <row r="60" spans="1:9">
      <c r="A60" s="107">
        <v>9</v>
      </c>
      <c r="B60" s="109" t="str">
        <f t="shared" si="3"/>
        <v xml:space="preserve"> </v>
      </c>
      <c r="D60" s="117"/>
      <c r="E60" s="103"/>
      <c r="F60" s="116"/>
      <c r="H60" s="186"/>
      <c r="I60" s="107" t="str">
        <f>IFERROR(_xlfn.XLOOKUP(F60,FRONT!$D$104:$D$122,FRONT!$X$104:$X$122),FALSE)</f>
        <v/>
      </c>
    </row>
    <row r="61" spans="1:9">
      <c r="A61" s="107">
        <v>10</v>
      </c>
      <c r="B61" s="109" t="str">
        <f t="shared" si="3"/>
        <v xml:space="preserve"> </v>
      </c>
      <c r="D61" s="117"/>
      <c r="E61" s="103"/>
      <c r="F61" s="116"/>
      <c r="H61" s="186"/>
      <c r="I61" s="107" t="str">
        <f>IFERROR(_xlfn.XLOOKUP(F61,FRONT!$D$104:$D$122,FRONT!$X$104:$X$122),FALSE)</f>
        <v/>
      </c>
    </row>
    <row r="62" spans="1:9">
      <c r="A62" s="107"/>
      <c r="D62" s="107"/>
      <c r="E62" s="107"/>
      <c r="F62" s="107"/>
      <c r="H62" s="107"/>
    </row>
  </sheetData>
  <sheetProtection algorithmName="SHA-512" hashValue="AlmyekPIwMaOTD59mw4qWmkeS+gPY/wVNpPd8ym2FP7AC1ozfDQy0erL85Wq149VbYqMgnfVjfBetxtV3OESFQ==" saltValue="nyP2tLHYJG/lTJwdN8g3Kw==" spinCount="100000" sheet="1" objects="1" scenarios="1" formatCells="0"/>
  <mergeCells count="37">
    <mergeCell ref="D31:H31"/>
    <mergeCell ref="D38:H38"/>
    <mergeCell ref="D37:H37"/>
    <mergeCell ref="D36:H36"/>
    <mergeCell ref="D35:H35"/>
    <mergeCell ref="D34:H34"/>
    <mergeCell ref="D7:H7"/>
    <mergeCell ref="D8:H8"/>
    <mergeCell ref="D9:H9"/>
    <mergeCell ref="D13:H13"/>
    <mergeCell ref="D12:H12"/>
    <mergeCell ref="D11:H11"/>
    <mergeCell ref="D10:H10"/>
    <mergeCell ref="D48:H48"/>
    <mergeCell ref="D47:H47"/>
    <mergeCell ref="D46:H46"/>
    <mergeCell ref="D45:H45"/>
    <mergeCell ref="D44:H44"/>
    <mergeCell ref="D43:H43"/>
    <mergeCell ref="D42:H42"/>
    <mergeCell ref="D41:H41"/>
    <mergeCell ref="D40:H40"/>
    <mergeCell ref="D39:H39"/>
    <mergeCell ref="D20:H20"/>
    <mergeCell ref="D19:H19"/>
    <mergeCell ref="D18:H18"/>
    <mergeCell ref="D17:H17"/>
    <mergeCell ref="D30:H30"/>
    <mergeCell ref="D29:H29"/>
    <mergeCell ref="D28:H28"/>
    <mergeCell ref="D27:H27"/>
    <mergeCell ref="D26:H26"/>
    <mergeCell ref="D25:H25"/>
    <mergeCell ref="D24:H24"/>
    <mergeCell ref="D23:H23"/>
    <mergeCell ref="D22:H22"/>
    <mergeCell ref="D21:H21"/>
  </mergeCells>
  <dataValidations count="3">
    <dataValidation type="list" allowBlank="1" showInputMessage="1" showErrorMessage="1" sqref="E52:E61" xr:uid="{1B85D399-85B8-4012-BB85-C611752D4FEF}">
      <formula1>"CORE, ACADEMIC, TECHPRO"</formula1>
    </dataValidation>
    <dataValidation type="list" allowBlank="1" showInputMessage="1" showErrorMessage="1" sqref="D52:D61" xr:uid="{A40BE82B-D64C-4E29-A346-B799DC1C2EF2}">
      <formula1>"ACADEMIC, TECHPRO"</formula1>
    </dataValidation>
    <dataValidation type="list" allowBlank="1" showDropDown="1" showInputMessage="1" showErrorMessage="1" sqref="H52:H61" xr:uid="{E032D8B4-015D-4F8B-AC18-43D6548636B1}">
      <formula1>"2,4"</formula1>
    </dataValidation>
  </dataValidations>
  <printOptions horizontalCentered="1"/>
  <pageMargins left="0.23622047244094491" right="0.23622047244094491" top="0.35433070866141736" bottom="0.35433070866141736" header="0.11811023622047245" footer="0.11811023622047245"/>
  <pageSetup paperSize="17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19ABC67-5E6F-43A5-8E78-195425131210}">
          <x14:formula1>
            <xm:f>HELPER_SUBJECTS!$D$12:$D$78</xm:f>
          </x14:formula1>
          <xm:sqref>D17:D31</xm:sqref>
        </x14:dataValidation>
        <x14:dataValidation type="list" allowBlank="1" showInputMessage="1" showErrorMessage="1" xr:uid="{65840E8E-44C1-46CF-8151-DB8F52EA8A30}">
          <x14:formula1>
            <xm:f>HELPER_SUBJECTS!$D$79:$D$138</xm:f>
          </x14:formula1>
          <xm:sqref>D34:D48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937E-5AA5-41C5-8EC4-A9C0506BE208}">
  <sheetPr>
    <tabColor rgb="FFFF0000"/>
  </sheetPr>
  <dimension ref="A1:AI138"/>
  <sheetViews>
    <sheetView showGridLines="0" topLeftCell="L1" zoomScale="75" workbookViewId="0">
      <selection activeCell="T17" sqref="T17"/>
    </sheetView>
  </sheetViews>
  <sheetFormatPr defaultColWidth="9.140625" defaultRowHeight="15.6"/>
  <cols>
    <col min="1" max="1" width="2.7109375" style="125" hidden="1" customWidth="1"/>
    <col min="2" max="2" width="21" style="125" hidden="1" customWidth="1"/>
    <col min="3" max="3" width="53.28515625" style="125" hidden="1" customWidth="1"/>
    <col min="4" max="4" width="57.85546875" style="125" hidden="1" customWidth="1"/>
    <col min="5" max="5" width="28.42578125" style="125" hidden="1" customWidth="1"/>
    <col min="6" max="8" width="10.28515625" style="3" hidden="1" customWidth="1"/>
    <col min="9" max="9" width="17.28515625" style="125" hidden="1" customWidth="1"/>
    <col min="10" max="10" width="31.5703125" style="125" hidden="1" customWidth="1"/>
    <col min="11" max="11" width="70.140625" style="125" hidden="1" customWidth="1"/>
    <col min="12" max="12" width="3.7109375" style="211" customWidth="1"/>
    <col min="13" max="14" width="31" style="125" hidden="1" customWidth="1"/>
    <col min="15" max="15" width="9.5703125" style="3" hidden="1" customWidth="1"/>
    <col min="16" max="16" width="31" style="125" hidden="1" customWidth="1"/>
    <col min="17" max="17" width="9.5703125" style="3" hidden="1" customWidth="1"/>
    <col min="18" max="18" width="0" style="125" hidden="1" customWidth="1"/>
    <col min="19" max="22" width="27.42578125" style="125" customWidth="1"/>
    <col min="23" max="23" width="3.7109375" style="211" customWidth="1"/>
    <col min="24" max="24" width="62.140625" style="125" hidden="1" customWidth="1"/>
    <col min="25" max="27" width="9.140625" style="125" hidden="1" customWidth="1"/>
    <col min="28" max="28" width="66" style="125" hidden="1" customWidth="1"/>
    <col min="29" max="29" width="9.140625" style="125" hidden="1" customWidth="1"/>
    <col min="30" max="30" width="53.85546875" style="125" hidden="1" customWidth="1"/>
    <col min="31" max="35" width="0" style="125" hidden="1" customWidth="1"/>
    <col min="36" max="16384" width="9.140625" style="125"/>
  </cols>
  <sheetData>
    <row r="1" spans="1:35">
      <c r="L1" s="125"/>
      <c r="W1" s="125"/>
      <c r="X1" s="8" t="s">
        <v>44</v>
      </c>
      <c r="Y1" s="7">
        <v>11</v>
      </c>
      <c r="Z1" s="7">
        <v>12</v>
      </c>
      <c r="AA1" s="7" t="s">
        <v>127</v>
      </c>
      <c r="AB1" s="125" t="s">
        <v>128</v>
      </c>
      <c r="AC1" s="125" t="s">
        <v>129</v>
      </c>
      <c r="AD1" s="125" t="s">
        <v>125</v>
      </c>
      <c r="AE1" s="125" t="s">
        <v>52</v>
      </c>
      <c r="AF1" s="125" t="s">
        <v>53</v>
      </c>
      <c r="AG1" s="125" t="s">
        <v>89</v>
      </c>
      <c r="AH1" s="125" t="s">
        <v>90</v>
      </c>
      <c r="AI1" s="125" t="s">
        <v>130</v>
      </c>
    </row>
    <row r="2" spans="1:35">
      <c r="A2" s="125" t="s">
        <v>131</v>
      </c>
      <c r="B2" s="126" t="s">
        <v>132</v>
      </c>
      <c r="L2" s="125"/>
      <c r="S2" s="126" t="s">
        <v>133</v>
      </c>
      <c r="W2" s="125"/>
      <c r="X2" s="5" t="s">
        <v>134</v>
      </c>
      <c r="Y2" s="4">
        <v>4</v>
      </c>
      <c r="Z2" s="4"/>
      <c r="AB2" s="125" t="s">
        <v>134</v>
      </c>
      <c r="AC2" s="125" t="s">
        <v>55</v>
      </c>
      <c r="AD2" s="125" t="s">
        <v>59</v>
      </c>
    </row>
    <row r="3" spans="1:35">
      <c r="A3" s="125" t="s">
        <v>135</v>
      </c>
      <c r="B3" s="183" t="s">
        <v>136</v>
      </c>
      <c r="M3" s="127" t="s">
        <v>55</v>
      </c>
      <c r="N3" s="128" t="s">
        <v>137</v>
      </c>
      <c r="O3" s="120"/>
      <c r="P3" s="127" t="s">
        <v>138</v>
      </c>
      <c r="Q3" s="120"/>
      <c r="S3" s="212" t="s">
        <v>139</v>
      </c>
      <c r="T3" s="212" t="s">
        <v>140</v>
      </c>
      <c r="U3" s="212" t="s">
        <v>141</v>
      </c>
      <c r="V3" s="212" t="s">
        <v>142</v>
      </c>
      <c r="W3" s="6"/>
      <c r="X3" s="5" t="s">
        <v>143</v>
      </c>
      <c r="Y3" s="4">
        <v>2</v>
      </c>
      <c r="Z3" s="4">
        <v>2</v>
      </c>
      <c r="AB3" s="125" t="s">
        <v>134</v>
      </c>
      <c r="AC3" s="125" t="s">
        <v>55</v>
      </c>
      <c r="AD3" s="125" t="s">
        <v>61</v>
      </c>
    </row>
    <row r="4" spans="1:35" hidden="1">
      <c r="M4" s="129" t="s">
        <v>144</v>
      </c>
      <c r="N4" s="129" t="s">
        <v>145</v>
      </c>
      <c r="O4" s="121"/>
      <c r="P4" s="129" t="s">
        <v>146</v>
      </c>
      <c r="Q4" s="121"/>
      <c r="S4" s="121" t="s">
        <v>147</v>
      </c>
      <c r="T4" s="121" t="s">
        <v>148</v>
      </c>
      <c r="U4" s="121" t="s">
        <v>149</v>
      </c>
      <c r="V4" s="121" t="s">
        <v>150</v>
      </c>
      <c r="X4" s="5" t="s">
        <v>151</v>
      </c>
      <c r="Y4" s="4">
        <v>2</v>
      </c>
      <c r="Z4" s="4">
        <v>2</v>
      </c>
      <c r="AB4" s="125" t="s">
        <v>134</v>
      </c>
      <c r="AC4" s="125" t="s">
        <v>55</v>
      </c>
      <c r="AD4" s="125" t="s">
        <v>62</v>
      </c>
    </row>
    <row r="5" spans="1:35">
      <c r="B5" s="130" t="s">
        <v>124</v>
      </c>
      <c r="C5" s="130" t="s">
        <v>129</v>
      </c>
      <c r="D5" s="130" t="s">
        <v>125</v>
      </c>
      <c r="E5" s="131" t="s">
        <v>152</v>
      </c>
      <c r="F5" s="6">
        <v>11</v>
      </c>
      <c r="G5" s="6">
        <v>12</v>
      </c>
      <c r="H5" s="6" t="s">
        <v>153</v>
      </c>
      <c r="K5" s="126" t="s">
        <v>154</v>
      </c>
      <c r="M5" s="132" t="s">
        <v>44</v>
      </c>
      <c r="N5" s="133" t="s">
        <v>44</v>
      </c>
      <c r="O5" s="122" t="s">
        <v>155</v>
      </c>
      <c r="P5" s="132" t="s">
        <v>44</v>
      </c>
      <c r="Q5" s="122" t="s">
        <v>155</v>
      </c>
      <c r="S5" s="124" t="s">
        <v>44</v>
      </c>
      <c r="T5" s="124" t="s">
        <v>44</v>
      </c>
      <c r="U5" s="124" t="s">
        <v>44</v>
      </c>
      <c r="V5" s="124" t="s">
        <v>44</v>
      </c>
      <c r="X5" s="5" t="s">
        <v>156</v>
      </c>
      <c r="Y5" s="4">
        <v>4</v>
      </c>
      <c r="Z5" s="4">
        <v>2</v>
      </c>
      <c r="AB5" s="125" t="s">
        <v>134</v>
      </c>
      <c r="AC5" s="125" t="s">
        <v>55</v>
      </c>
      <c r="AD5" s="125" t="s">
        <v>63</v>
      </c>
    </row>
    <row r="6" spans="1:35">
      <c r="B6" s="125" t="s">
        <v>55</v>
      </c>
      <c r="C6" s="125" t="s">
        <v>55</v>
      </c>
      <c r="D6" s="125" t="s">
        <v>59</v>
      </c>
      <c r="E6" s="125" t="str">
        <f t="shared" ref="E6:E37" si="0">B6&amp;" - "&amp;C6</f>
        <v>CORE - CORE</v>
      </c>
      <c r="F6" s="3">
        <v>4</v>
      </c>
      <c r="H6" s="3">
        <f>IF(AND(F6&lt;&gt;"",G6&lt;&gt;""),"11/12",IF(F6&lt;&gt;"",11,12))</f>
        <v>11</v>
      </c>
      <c r="I6" s="125" t="str" cm="1">
        <f t="array" ref="I6:I8">_xlfn.UNIQUE(B6:B137)</f>
        <v>CORE</v>
      </c>
      <c r="J6" s="134" t="s">
        <v>157</v>
      </c>
      <c r="M6" s="135"/>
      <c r="N6" s="136"/>
      <c r="O6" s="123"/>
      <c r="P6" s="135"/>
      <c r="Q6" s="123"/>
      <c r="S6" s="135"/>
      <c r="T6" s="135"/>
      <c r="U6" s="135"/>
      <c r="V6" s="135"/>
      <c r="X6" s="5" t="s">
        <v>158</v>
      </c>
      <c r="Y6" s="4">
        <v>4</v>
      </c>
      <c r="Z6" s="4">
        <v>2</v>
      </c>
      <c r="AB6" s="125" t="s">
        <v>134</v>
      </c>
      <c r="AC6" s="125" t="s">
        <v>55</v>
      </c>
      <c r="AD6" s="125" t="s">
        <v>64</v>
      </c>
    </row>
    <row r="7" spans="1:35">
      <c r="B7" s="125" t="s">
        <v>55</v>
      </c>
      <c r="C7" s="125" t="s">
        <v>55</v>
      </c>
      <c r="D7" s="125" t="s">
        <v>61</v>
      </c>
      <c r="E7" s="125" t="str">
        <f t="shared" si="0"/>
        <v>CORE - CORE</v>
      </c>
      <c r="F7" s="3">
        <v>4</v>
      </c>
      <c r="H7" s="3">
        <f t="shared" ref="H7:H70" si="1">IF(AND(F7&lt;&gt;"",G7&lt;&gt;""),"11/12",IF(F7&lt;&gt;"",11,12))</f>
        <v>11</v>
      </c>
      <c r="I7" s="125" t="str">
        <v>ACADEMIC</v>
      </c>
      <c r="J7" s="134" t="s">
        <v>159</v>
      </c>
      <c r="K7" s="125" t="s">
        <v>160</v>
      </c>
      <c r="L7" s="211" cm="1">
        <f t="array" ref="L7:L76">_xlfn.SEQUENCE(70)</f>
        <v>1</v>
      </c>
      <c r="M7" s="135" t="s">
        <v>59</v>
      </c>
      <c r="N7" s="136" t="e" cm="1" vm="1">
        <f t="array" ref="N7">_xlfn._xlws.FILTER(
    _xlfn.VSTACK( ANNEX!D17:D31, IFERROR(_xlfn._xlws.FILTER(ANNEX!F52:F61, ANNEX!D52:D61="ACADEMIC"), "") ),
    _xlfn.VSTACK( ANNEX!D17:D31, IFERROR(_xlfn._xlws.FILTER(ANNEX!F52:F61, ANNEX!D52:D61="ACADEMIC"), "") )&lt;&gt;"" )</f>
        <v>#VALUE!</v>
      </c>
      <c r="O7" s="123" t="e" vm="2">
        <f t="shared" ref="O7:Q10" si="2">_xlfn.IFNA(IF(N7&lt;&gt;"",_xlfn.XLOOKUP(N7,$D$6:$D$138,$H$6:$H$138),""),"11/12")</f>
        <v>#VALUE!</v>
      </c>
      <c r="P7" s="135" t="e" cm="1" vm="1">
        <f t="array" ref="P7">_xlfn._xlws.FILTER(
    _xlfn.VSTACK( ANNEX!D34:D48, IFERROR(_xlfn._xlws.FILTER(ANNEX!F52:F61, ANNEX!D52:D61="TECHPRO"), "") ),
    _xlfn.VSTACK( ANNEX!D34:D48, IFERROR(_xlfn._xlws.FILTER(ANNEX!F52:F61, ANNEX!D52:D61="TECHPRO"), "") )&lt;&gt;"" )</f>
        <v>#VALUE!</v>
      </c>
      <c r="Q7" s="123" t="e" vm="2">
        <f>_xlfn.IFNA(IF(P7&lt;&gt;"",_xlfn.XLOOKUP(P7,$D$6:$D$138,$H$6:$H$138),""),"11/12")</f>
        <v>#VALUE!</v>
      </c>
      <c r="R7" s="125" cm="1">
        <f t="array" ref="R7:R76">_xlfn.SEQUENCE(70)</f>
        <v>1</v>
      </c>
      <c r="S7" s="135" t="str" cm="1">
        <f t="array" ref="S7">IFERROR(_xlfn._xlws.FILTER($N$7:$N$76,ISNUMBER(SEARCH("11",$O$7:$O$76))),"List ACADEMIC ELECTIVES in the ANNEX sheet.")</f>
        <v>List ACADEMIC ELECTIVES in the ANNEX sheet.</v>
      </c>
      <c r="T7" s="135" t="str" cm="1">
        <f t="array" ref="T7">IFERROR(_xlfn._xlws.FILTER($P$7:$P$76, ISNUMBER(SEARCH("11", $Q$7:$Q$76))),"List TECHPRO electives in the ANNEX sheet.")</f>
        <v>List TECHPRO electives in the ANNEX sheet.</v>
      </c>
      <c r="U7" s="135" t="str" cm="1">
        <f t="array" ref="U7">IFERROR(_xlfn._xlws.FILTER($N$7:$N$76,ISNUMBER(SEARCH("12",$O$7:$O$76))),"List ACADEMIC ELECTIVES in the ANNEX sheet.")</f>
        <v>List ACADEMIC ELECTIVES in the ANNEX sheet.</v>
      </c>
      <c r="V7" s="135" t="str" cm="1">
        <f t="array" ref="V7">IFERROR(_xlfn._xlws.FILTER($P$7:$P$76, ISNUMBER(SEARCH("12", $Q$7:$Q$76))),"List TECHPRO ELECTIVES in the ANNEX sheet.")</f>
        <v>List TECHPRO ELECTIVES in the ANNEX sheet.</v>
      </c>
      <c r="AB7" s="125" t="s">
        <v>134</v>
      </c>
      <c r="AC7" s="125" t="s">
        <v>55</v>
      </c>
      <c r="AD7" s="125" t="s">
        <v>65</v>
      </c>
    </row>
    <row r="8" spans="1:35">
      <c r="B8" s="125" t="s">
        <v>55</v>
      </c>
      <c r="C8" s="125" t="s">
        <v>55</v>
      </c>
      <c r="D8" s="125" t="s">
        <v>62</v>
      </c>
      <c r="E8" s="125" t="str">
        <f t="shared" si="0"/>
        <v>CORE - CORE</v>
      </c>
      <c r="F8" s="3">
        <v>4</v>
      </c>
      <c r="H8" s="3">
        <f t="shared" si="1"/>
        <v>11</v>
      </c>
      <c r="I8" s="125" t="str">
        <v>TECHPRO</v>
      </c>
      <c r="J8" s="134" t="s">
        <v>161</v>
      </c>
      <c r="K8" s="125" t="s">
        <v>162</v>
      </c>
      <c r="L8" s="211">
        <v>2</v>
      </c>
      <c r="M8" s="135" t="s">
        <v>61</v>
      </c>
      <c r="N8" s="136"/>
      <c r="O8" s="123" t="str">
        <f t="shared" si="2"/>
        <v/>
      </c>
      <c r="P8" s="135"/>
      <c r="Q8" s="123" t="str">
        <f t="shared" si="2"/>
        <v/>
      </c>
      <c r="R8" s="125">
        <v>2</v>
      </c>
      <c r="S8" s="135"/>
      <c r="T8" s="135"/>
      <c r="U8" s="135"/>
      <c r="V8" s="135"/>
      <c r="AB8" s="125" t="s">
        <v>143</v>
      </c>
      <c r="AC8" s="125" t="s">
        <v>163</v>
      </c>
      <c r="AD8" s="125" t="s">
        <v>164</v>
      </c>
    </row>
    <row r="9" spans="1:35">
      <c r="B9" s="125" t="s">
        <v>55</v>
      </c>
      <c r="C9" s="125" t="s">
        <v>55</v>
      </c>
      <c r="D9" s="125" t="s">
        <v>63</v>
      </c>
      <c r="E9" s="125" t="str">
        <f t="shared" si="0"/>
        <v>CORE - CORE</v>
      </c>
      <c r="F9" s="3">
        <v>4</v>
      </c>
      <c r="H9" s="3">
        <f t="shared" si="1"/>
        <v>11</v>
      </c>
      <c r="K9" s="125" t="s">
        <v>165</v>
      </c>
      <c r="L9" s="211">
        <v>3</v>
      </c>
      <c r="M9" s="135" t="s">
        <v>62</v>
      </c>
      <c r="N9" s="136"/>
      <c r="O9" s="123" t="str">
        <f t="shared" si="2"/>
        <v/>
      </c>
      <c r="P9" s="135"/>
      <c r="Q9" s="123" t="str">
        <f t="shared" si="2"/>
        <v/>
      </c>
      <c r="R9" s="125">
        <v>3</v>
      </c>
      <c r="S9" s="135"/>
      <c r="T9" s="135"/>
      <c r="U9" s="135"/>
      <c r="V9" s="135"/>
      <c r="AB9" s="125" t="s">
        <v>143</v>
      </c>
      <c r="AC9" s="125" t="s">
        <v>163</v>
      </c>
      <c r="AD9" s="125" t="s">
        <v>166</v>
      </c>
    </row>
    <row r="10" spans="1:35">
      <c r="B10" s="125" t="s">
        <v>55</v>
      </c>
      <c r="C10" s="125" t="s">
        <v>55</v>
      </c>
      <c r="D10" s="125" t="s">
        <v>64</v>
      </c>
      <c r="E10" s="125" t="str">
        <f t="shared" si="0"/>
        <v>CORE - CORE</v>
      </c>
      <c r="F10" s="3">
        <v>4</v>
      </c>
      <c r="H10" s="3">
        <f t="shared" si="1"/>
        <v>11</v>
      </c>
      <c r="K10" s="125" t="s">
        <v>167</v>
      </c>
      <c r="L10" s="211">
        <v>4</v>
      </c>
      <c r="M10" s="135" t="s">
        <v>63</v>
      </c>
      <c r="N10" s="136"/>
      <c r="O10" s="123" t="str">
        <f t="shared" si="2"/>
        <v/>
      </c>
      <c r="P10" s="135"/>
      <c r="Q10" s="123" t="str">
        <f t="shared" si="2"/>
        <v/>
      </c>
      <c r="R10" s="125">
        <v>4</v>
      </c>
      <c r="S10" s="135"/>
      <c r="T10" s="135"/>
      <c r="U10" s="135"/>
      <c r="V10" s="135"/>
      <c r="AB10" s="125" t="s">
        <v>143</v>
      </c>
      <c r="AC10" s="125" t="s">
        <v>163</v>
      </c>
      <c r="AD10" s="125" t="s">
        <v>168</v>
      </c>
    </row>
    <row r="11" spans="1:35">
      <c r="B11" s="125" t="s">
        <v>55</v>
      </c>
      <c r="C11" s="125" t="s">
        <v>55</v>
      </c>
      <c r="D11" s="125" t="s">
        <v>65</v>
      </c>
      <c r="E11" s="125" t="str">
        <f t="shared" si="0"/>
        <v>CORE - CORE</v>
      </c>
      <c r="F11" s="3">
        <v>4</v>
      </c>
      <c r="H11" s="3">
        <f t="shared" si="1"/>
        <v>11</v>
      </c>
      <c r="I11" s="125" t="s">
        <v>169</v>
      </c>
      <c r="K11" s="125" t="s">
        <v>170</v>
      </c>
      <c r="L11" s="211">
        <v>5</v>
      </c>
      <c r="M11" s="135" t="s">
        <v>64</v>
      </c>
      <c r="N11" s="136"/>
      <c r="O11" s="123" t="str">
        <f>_xlfn.IFNA(IF(N11&lt;&gt;"",_xlfn.XLOOKUP(N11,$D$6:$D$138,$H$6:$H$138),""),"11/12")</f>
        <v/>
      </c>
      <c r="P11" s="135"/>
      <c r="Q11" s="123" t="str">
        <f>_xlfn.IFNA(IF(P11&lt;&gt;"",_xlfn.XLOOKUP(P11,$D$6:$D$138,$H$6:$H$138),""),"11/12")</f>
        <v/>
      </c>
      <c r="R11" s="125">
        <v>5</v>
      </c>
      <c r="S11" s="135"/>
      <c r="T11" s="135"/>
      <c r="U11" s="135"/>
      <c r="V11" s="135"/>
      <c r="AB11" s="125" t="s">
        <v>143</v>
      </c>
      <c r="AC11" s="125" t="s">
        <v>163</v>
      </c>
      <c r="AD11" s="125" t="s">
        <v>171</v>
      </c>
    </row>
    <row r="12" spans="1:35">
      <c r="B12" s="125" t="s">
        <v>137</v>
      </c>
      <c r="C12" s="125" t="s">
        <v>163</v>
      </c>
      <c r="D12" s="126" t="s">
        <v>164</v>
      </c>
      <c r="E12" s="126" t="str">
        <f t="shared" si="0"/>
        <v>ACADEMIC - ARTS, SOCIAL SCIENCE AND HUMANITIES CLUSTER</v>
      </c>
      <c r="F12" s="208">
        <v>2</v>
      </c>
      <c r="G12" s="208"/>
      <c r="H12" s="3">
        <f t="shared" si="1"/>
        <v>11</v>
      </c>
      <c r="I12" s="125" t="s">
        <v>172</v>
      </c>
      <c r="J12" s="125" t="s">
        <v>173</v>
      </c>
      <c r="K12" s="125" t="s">
        <v>174</v>
      </c>
      <c r="L12" s="211">
        <v>6</v>
      </c>
      <c r="M12" s="137" t="s">
        <v>65</v>
      </c>
      <c r="N12" s="136"/>
      <c r="O12" s="123" t="str">
        <f t="shared" ref="O12:Q75" si="3">_xlfn.IFNA(IF(N12&lt;&gt;"",_xlfn.XLOOKUP(N12,$D$6:$D$138,$H$6:$H$138),""),"11/12")</f>
        <v/>
      </c>
      <c r="P12" s="135"/>
      <c r="Q12" s="123" t="str">
        <f t="shared" si="3"/>
        <v/>
      </c>
      <c r="R12" s="125">
        <v>6</v>
      </c>
      <c r="S12" s="135"/>
      <c r="T12" s="135"/>
      <c r="U12" s="135"/>
      <c r="V12" s="135"/>
      <c r="AB12" s="125" t="s">
        <v>143</v>
      </c>
      <c r="AC12" s="125" t="s">
        <v>163</v>
      </c>
      <c r="AD12" s="125" t="s">
        <v>175</v>
      </c>
    </row>
    <row r="13" spans="1:35">
      <c r="B13" s="125" t="s">
        <v>137</v>
      </c>
      <c r="C13" s="125" t="s">
        <v>163</v>
      </c>
      <c r="D13" s="126" t="s">
        <v>166</v>
      </c>
      <c r="E13" s="126" t="str">
        <f t="shared" si="0"/>
        <v>ACADEMIC - ARTS, SOCIAL SCIENCE AND HUMANITIES CLUSTER</v>
      </c>
      <c r="F13" s="208">
        <v>2</v>
      </c>
      <c r="G13" s="208"/>
      <c r="H13" s="3">
        <f t="shared" si="1"/>
        <v>11</v>
      </c>
      <c r="I13" s="125">
        <v>2</v>
      </c>
      <c r="J13" s="125" t="s">
        <v>176</v>
      </c>
      <c r="K13" s="125" t="s">
        <v>177</v>
      </c>
      <c r="L13" s="211">
        <v>7</v>
      </c>
      <c r="N13" s="135"/>
      <c r="O13" s="123" t="str">
        <f t="shared" si="3"/>
        <v/>
      </c>
      <c r="P13" s="135"/>
      <c r="Q13" s="123" t="str">
        <f t="shared" si="3"/>
        <v/>
      </c>
      <c r="R13" s="125">
        <v>7</v>
      </c>
      <c r="S13" s="135"/>
      <c r="T13" s="135"/>
      <c r="U13" s="135"/>
      <c r="V13" s="135"/>
      <c r="AB13" s="125" t="s">
        <v>143</v>
      </c>
      <c r="AC13" s="125" t="s">
        <v>163</v>
      </c>
      <c r="AD13" s="125" t="s">
        <v>178</v>
      </c>
    </row>
    <row r="14" spans="1:35">
      <c r="B14" s="125" t="s">
        <v>137</v>
      </c>
      <c r="C14" s="125" t="s">
        <v>163</v>
      </c>
      <c r="D14" s="126" t="s">
        <v>168</v>
      </c>
      <c r="E14" s="126" t="str">
        <f t="shared" si="0"/>
        <v>ACADEMIC - ARTS, SOCIAL SCIENCE AND HUMANITIES CLUSTER</v>
      </c>
      <c r="F14" s="208">
        <v>2</v>
      </c>
      <c r="G14" s="208"/>
      <c r="H14" s="3">
        <f t="shared" si="1"/>
        <v>11</v>
      </c>
      <c r="I14" s="125">
        <v>4</v>
      </c>
      <c r="J14" s="125" t="s">
        <v>179</v>
      </c>
      <c r="K14" s="125" t="s">
        <v>180</v>
      </c>
      <c r="L14" s="211">
        <v>8</v>
      </c>
      <c r="N14" s="135"/>
      <c r="O14" s="123" t="str">
        <f t="shared" si="3"/>
        <v/>
      </c>
      <c r="P14" s="135"/>
      <c r="Q14" s="123" t="str">
        <f t="shared" si="3"/>
        <v/>
      </c>
      <c r="R14" s="125">
        <v>8</v>
      </c>
      <c r="S14" s="135"/>
      <c r="T14" s="135"/>
      <c r="U14" s="135"/>
      <c r="V14" s="135"/>
      <c r="AB14" s="125" t="s">
        <v>143</v>
      </c>
      <c r="AC14" s="125" t="s">
        <v>163</v>
      </c>
      <c r="AD14" s="125" t="s">
        <v>181</v>
      </c>
    </row>
    <row r="15" spans="1:35">
      <c r="B15" s="125" t="s">
        <v>137</v>
      </c>
      <c r="C15" s="125" t="s">
        <v>163</v>
      </c>
      <c r="D15" s="126" t="s">
        <v>171</v>
      </c>
      <c r="E15" s="126" t="str">
        <f t="shared" si="0"/>
        <v>ACADEMIC - ARTS, SOCIAL SCIENCE AND HUMANITIES CLUSTER</v>
      </c>
      <c r="F15" s="208">
        <v>2</v>
      </c>
      <c r="G15" s="208"/>
      <c r="H15" s="3">
        <f t="shared" si="1"/>
        <v>11</v>
      </c>
      <c r="K15" s="125" t="s">
        <v>182</v>
      </c>
      <c r="L15" s="211">
        <v>9</v>
      </c>
      <c r="N15" s="135"/>
      <c r="O15" s="123" t="str">
        <f t="shared" si="3"/>
        <v/>
      </c>
      <c r="P15" s="135"/>
      <c r="Q15" s="123" t="str">
        <f t="shared" si="3"/>
        <v/>
      </c>
      <c r="R15" s="125">
        <v>9</v>
      </c>
      <c r="S15" s="135"/>
      <c r="T15" s="135"/>
      <c r="U15" s="135"/>
      <c r="V15" s="135"/>
      <c r="AB15" s="125" t="s">
        <v>143</v>
      </c>
      <c r="AC15" s="125" t="s">
        <v>163</v>
      </c>
      <c r="AD15" s="125" t="s">
        <v>183</v>
      </c>
    </row>
    <row r="16" spans="1:35">
      <c r="B16" s="125" t="s">
        <v>137</v>
      </c>
      <c r="C16" s="125" t="s">
        <v>163</v>
      </c>
      <c r="D16" s="125" t="s">
        <v>175</v>
      </c>
      <c r="E16" s="125" t="str">
        <f t="shared" si="0"/>
        <v>ACADEMIC - ARTS, SOCIAL SCIENCE AND HUMANITIES CLUSTER</v>
      </c>
      <c r="F16" s="3">
        <v>2</v>
      </c>
      <c r="G16" s="3">
        <v>2</v>
      </c>
      <c r="H16" s="3" t="str">
        <f>IF(AND(F16&lt;&gt;"",G16&lt;&gt;""),"11/12",IF(F16&lt;&gt;"",11,12))</f>
        <v>11/12</v>
      </c>
      <c r="K16" s="125" t="s">
        <v>184</v>
      </c>
      <c r="L16" s="211">
        <v>10</v>
      </c>
      <c r="N16" s="135"/>
      <c r="O16" s="123" t="str">
        <f t="shared" si="3"/>
        <v/>
      </c>
      <c r="P16" s="135"/>
      <c r="Q16" s="123" t="str">
        <f t="shared" si="3"/>
        <v/>
      </c>
      <c r="R16" s="125">
        <v>10</v>
      </c>
      <c r="S16" s="135"/>
      <c r="T16" s="135"/>
      <c r="U16" s="135"/>
      <c r="V16" s="135"/>
      <c r="AB16" s="125" t="s">
        <v>143</v>
      </c>
      <c r="AC16" s="125" t="s">
        <v>163</v>
      </c>
      <c r="AD16" s="125" t="s">
        <v>185</v>
      </c>
    </row>
    <row r="17" spans="2:30">
      <c r="B17" s="125" t="s">
        <v>137</v>
      </c>
      <c r="C17" s="125" t="s">
        <v>163</v>
      </c>
      <c r="D17" s="125" t="s">
        <v>178</v>
      </c>
      <c r="E17" s="125" t="str">
        <f t="shared" si="0"/>
        <v>ACADEMIC - ARTS, SOCIAL SCIENCE AND HUMANITIES CLUSTER</v>
      </c>
      <c r="F17" s="3">
        <v>2</v>
      </c>
      <c r="G17" s="3">
        <v>2</v>
      </c>
      <c r="H17" s="3" t="str">
        <f t="shared" si="1"/>
        <v>11/12</v>
      </c>
      <c r="K17" s="125" t="s">
        <v>186</v>
      </c>
      <c r="L17" s="211">
        <v>11</v>
      </c>
      <c r="N17" s="135"/>
      <c r="O17" s="123" t="str">
        <f t="shared" si="3"/>
        <v/>
      </c>
      <c r="P17" s="135"/>
      <c r="Q17" s="123" t="str">
        <f t="shared" si="3"/>
        <v/>
      </c>
      <c r="R17" s="125">
        <v>11</v>
      </c>
      <c r="S17" s="135"/>
      <c r="T17" s="135"/>
      <c r="U17" s="135"/>
      <c r="V17" s="135"/>
      <c r="AB17" s="125" t="s">
        <v>143</v>
      </c>
      <c r="AC17" s="125" t="s">
        <v>163</v>
      </c>
      <c r="AD17" s="125" t="s">
        <v>187</v>
      </c>
    </row>
    <row r="18" spans="2:30">
      <c r="B18" s="125" t="s">
        <v>137</v>
      </c>
      <c r="C18" s="125" t="s">
        <v>163</v>
      </c>
      <c r="D18" s="125" t="s">
        <v>181</v>
      </c>
      <c r="E18" s="125" t="str">
        <f t="shared" si="0"/>
        <v>ACADEMIC - ARTS, SOCIAL SCIENCE AND HUMANITIES CLUSTER</v>
      </c>
      <c r="F18" s="3">
        <v>2</v>
      </c>
      <c r="G18" s="3">
        <v>2</v>
      </c>
      <c r="H18" s="3" t="str">
        <f t="shared" si="1"/>
        <v>11/12</v>
      </c>
      <c r="K18" s="125" t="s">
        <v>188</v>
      </c>
      <c r="L18" s="211">
        <v>12</v>
      </c>
      <c r="N18" s="135"/>
      <c r="O18" s="123" t="str">
        <f t="shared" si="3"/>
        <v/>
      </c>
      <c r="P18" s="135"/>
      <c r="Q18" s="123" t="str">
        <f t="shared" si="3"/>
        <v/>
      </c>
      <c r="R18" s="125">
        <v>12</v>
      </c>
      <c r="S18" s="135"/>
      <c r="T18" s="135"/>
      <c r="U18" s="135"/>
      <c r="V18" s="135"/>
      <c r="AB18" s="125" t="s">
        <v>143</v>
      </c>
      <c r="AC18" s="125" t="s">
        <v>163</v>
      </c>
      <c r="AD18" s="125" t="s">
        <v>189</v>
      </c>
    </row>
    <row r="19" spans="2:30">
      <c r="B19" s="125" t="s">
        <v>137</v>
      </c>
      <c r="C19" s="125" t="s">
        <v>163</v>
      </c>
      <c r="D19" s="125" t="s">
        <v>183</v>
      </c>
      <c r="E19" s="125" t="str">
        <f t="shared" si="0"/>
        <v>ACADEMIC - ARTS, SOCIAL SCIENCE AND HUMANITIES CLUSTER</v>
      </c>
      <c r="F19" s="209">
        <v>2</v>
      </c>
      <c r="H19" s="3">
        <f t="shared" si="1"/>
        <v>11</v>
      </c>
      <c r="K19" s="125" t="s">
        <v>190</v>
      </c>
      <c r="L19" s="211">
        <v>13</v>
      </c>
      <c r="N19" s="135"/>
      <c r="O19" s="123" t="str">
        <f t="shared" si="3"/>
        <v/>
      </c>
      <c r="P19" s="135"/>
      <c r="Q19" s="123" t="str">
        <f t="shared" si="3"/>
        <v/>
      </c>
      <c r="R19" s="125">
        <v>13</v>
      </c>
      <c r="S19" s="135"/>
      <c r="T19" s="135"/>
      <c r="U19" s="135"/>
      <c r="V19" s="135"/>
      <c r="AB19" s="125" t="s">
        <v>143</v>
      </c>
      <c r="AC19" s="125" t="s">
        <v>163</v>
      </c>
      <c r="AD19" s="125" t="s">
        <v>191</v>
      </c>
    </row>
    <row r="20" spans="2:30">
      <c r="B20" s="125" t="s">
        <v>137</v>
      </c>
      <c r="C20" s="125" t="s">
        <v>163</v>
      </c>
      <c r="D20" s="125" t="s">
        <v>185</v>
      </c>
      <c r="E20" s="125" t="str">
        <f t="shared" si="0"/>
        <v>ACADEMIC - ARTS, SOCIAL SCIENCE AND HUMANITIES CLUSTER</v>
      </c>
      <c r="F20" s="210">
        <v>2</v>
      </c>
      <c r="G20" s="208"/>
      <c r="H20" s="3">
        <f t="shared" si="1"/>
        <v>11</v>
      </c>
      <c r="K20" s="125" t="s">
        <v>192</v>
      </c>
      <c r="L20" s="211">
        <v>14</v>
      </c>
      <c r="N20" s="135"/>
      <c r="O20" s="123" t="str">
        <f t="shared" si="3"/>
        <v/>
      </c>
      <c r="P20" s="135"/>
      <c r="Q20" s="123" t="str">
        <f t="shared" si="3"/>
        <v/>
      </c>
      <c r="R20" s="125">
        <v>14</v>
      </c>
      <c r="S20" s="135"/>
      <c r="T20" s="135"/>
      <c r="U20" s="135"/>
      <c r="V20" s="135"/>
      <c r="AB20" s="125" t="s">
        <v>143</v>
      </c>
      <c r="AC20" s="125" t="s">
        <v>163</v>
      </c>
      <c r="AD20" s="125" t="s">
        <v>193</v>
      </c>
    </row>
    <row r="21" spans="2:30">
      <c r="B21" s="125" t="s">
        <v>137</v>
      </c>
      <c r="C21" s="125" t="s">
        <v>163</v>
      </c>
      <c r="D21" s="125" t="s">
        <v>187</v>
      </c>
      <c r="E21" s="125" t="str">
        <f t="shared" si="0"/>
        <v>ACADEMIC - ARTS, SOCIAL SCIENCE AND HUMANITIES CLUSTER</v>
      </c>
      <c r="F21" s="208">
        <v>2</v>
      </c>
      <c r="G21" s="208">
        <v>2</v>
      </c>
      <c r="H21" s="3" t="str">
        <f t="shared" si="1"/>
        <v>11/12</v>
      </c>
      <c r="K21" s="125" t="s">
        <v>194</v>
      </c>
      <c r="L21" s="211">
        <v>15</v>
      </c>
      <c r="N21" s="135"/>
      <c r="O21" s="123" t="str">
        <f t="shared" si="3"/>
        <v/>
      </c>
      <c r="P21" s="135"/>
      <c r="Q21" s="123" t="str">
        <f t="shared" si="3"/>
        <v/>
      </c>
      <c r="R21" s="125">
        <v>15</v>
      </c>
      <c r="S21" s="135"/>
      <c r="T21" s="135"/>
      <c r="U21" s="135"/>
      <c r="V21" s="135"/>
      <c r="AB21" s="125" t="s">
        <v>143</v>
      </c>
      <c r="AC21" s="125" t="s">
        <v>163</v>
      </c>
      <c r="AD21" s="125" t="s">
        <v>195</v>
      </c>
    </row>
    <row r="22" spans="2:30">
      <c r="B22" s="125" t="s">
        <v>137</v>
      </c>
      <c r="C22" s="125" t="s">
        <v>163</v>
      </c>
      <c r="D22" s="125" t="s">
        <v>189</v>
      </c>
      <c r="E22" s="125" t="str">
        <f t="shared" si="0"/>
        <v>ACADEMIC - ARTS, SOCIAL SCIENCE AND HUMANITIES CLUSTER</v>
      </c>
      <c r="F22" s="3">
        <v>2</v>
      </c>
      <c r="G22" s="3">
        <v>2</v>
      </c>
      <c r="H22" s="3" t="str">
        <f t="shared" si="1"/>
        <v>11/12</v>
      </c>
      <c r="L22" s="211">
        <v>16</v>
      </c>
      <c r="N22" s="135"/>
      <c r="O22" s="123" t="str">
        <f t="shared" si="3"/>
        <v/>
      </c>
      <c r="P22" s="135"/>
      <c r="Q22" s="123" t="str">
        <f t="shared" si="3"/>
        <v/>
      </c>
      <c r="R22" s="125">
        <v>16</v>
      </c>
      <c r="S22" s="135"/>
      <c r="T22" s="135"/>
      <c r="U22" s="135"/>
      <c r="V22" s="135"/>
      <c r="AB22" s="125" t="s">
        <v>143</v>
      </c>
      <c r="AC22" s="125" t="s">
        <v>163</v>
      </c>
      <c r="AD22" s="125" t="s">
        <v>196</v>
      </c>
    </row>
    <row r="23" spans="2:30">
      <c r="B23" s="125" t="s">
        <v>137</v>
      </c>
      <c r="C23" s="125" t="s">
        <v>163</v>
      </c>
      <c r="D23" s="125" t="s">
        <v>191</v>
      </c>
      <c r="E23" s="125" t="str">
        <f t="shared" si="0"/>
        <v>ACADEMIC - ARTS, SOCIAL SCIENCE AND HUMANITIES CLUSTER</v>
      </c>
      <c r="F23" s="3">
        <v>2</v>
      </c>
      <c r="G23" s="3">
        <v>2</v>
      </c>
      <c r="H23" s="3" t="str">
        <f t="shared" si="1"/>
        <v>11/12</v>
      </c>
      <c r="L23" s="211">
        <v>17</v>
      </c>
      <c r="N23" s="135"/>
      <c r="O23" s="123" t="str">
        <f t="shared" si="3"/>
        <v/>
      </c>
      <c r="P23" s="135"/>
      <c r="Q23" s="123" t="str">
        <f t="shared" si="3"/>
        <v/>
      </c>
      <c r="R23" s="125">
        <v>17</v>
      </c>
      <c r="S23" s="135"/>
      <c r="T23" s="135"/>
      <c r="U23" s="135"/>
      <c r="V23" s="135"/>
      <c r="AB23" s="125" t="s">
        <v>143</v>
      </c>
      <c r="AC23" s="125" t="s">
        <v>163</v>
      </c>
      <c r="AD23" s="125" t="s">
        <v>197</v>
      </c>
    </row>
    <row r="24" spans="2:30">
      <c r="B24" s="125" t="s">
        <v>137</v>
      </c>
      <c r="C24" s="125" t="s">
        <v>163</v>
      </c>
      <c r="D24" s="125" t="s">
        <v>193</v>
      </c>
      <c r="E24" s="125" t="str">
        <f t="shared" si="0"/>
        <v>ACADEMIC - ARTS, SOCIAL SCIENCE AND HUMANITIES CLUSTER</v>
      </c>
      <c r="F24" s="3">
        <v>2</v>
      </c>
      <c r="G24" s="3">
        <v>2</v>
      </c>
      <c r="H24" s="3" t="str">
        <f t="shared" si="1"/>
        <v>11/12</v>
      </c>
      <c r="L24" s="211">
        <v>18</v>
      </c>
      <c r="N24" s="135"/>
      <c r="O24" s="123" t="str">
        <f t="shared" si="3"/>
        <v/>
      </c>
      <c r="P24" s="135"/>
      <c r="Q24" s="123" t="str">
        <f t="shared" si="3"/>
        <v/>
      </c>
      <c r="R24" s="125">
        <v>18</v>
      </c>
      <c r="S24" s="135"/>
      <c r="T24" s="135"/>
      <c r="U24" s="135"/>
      <c r="V24" s="135"/>
      <c r="AB24" s="125" t="s">
        <v>143</v>
      </c>
      <c r="AC24" s="125" t="s">
        <v>163</v>
      </c>
      <c r="AD24" s="125" t="s">
        <v>198</v>
      </c>
    </row>
    <row r="25" spans="2:30">
      <c r="B25" s="125" t="s">
        <v>137</v>
      </c>
      <c r="C25" s="125" t="s">
        <v>163</v>
      </c>
      <c r="D25" s="125" t="s">
        <v>195</v>
      </c>
      <c r="E25" s="125" t="str">
        <f t="shared" si="0"/>
        <v>ACADEMIC - ARTS, SOCIAL SCIENCE AND HUMANITIES CLUSTER</v>
      </c>
      <c r="F25" s="3">
        <v>2</v>
      </c>
      <c r="G25" s="3">
        <v>2</v>
      </c>
      <c r="H25" s="3" t="str">
        <f t="shared" si="1"/>
        <v>11/12</v>
      </c>
      <c r="L25" s="211">
        <v>19</v>
      </c>
      <c r="N25" s="135"/>
      <c r="O25" s="123" t="str">
        <f t="shared" si="3"/>
        <v/>
      </c>
      <c r="P25" s="135"/>
      <c r="Q25" s="123" t="str">
        <f t="shared" si="3"/>
        <v/>
      </c>
      <c r="R25" s="125">
        <v>19</v>
      </c>
      <c r="S25" s="135"/>
      <c r="T25" s="135"/>
      <c r="U25" s="135"/>
      <c r="V25" s="135"/>
      <c r="AB25" s="125" t="s">
        <v>143</v>
      </c>
      <c r="AC25" s="125" t="s">
        <v>199</v>
      </c>
      <c r="AD25" s="125" t="s">
        <v>200</v>
      </c>
    </row>
    <row r="26" spans="2:30">
      <c r="B26" s="125" t="s">
        <v>137</v>
      </c>
      <c r="C26" s="125" t="s">
        <v>163</v>
      </c>
      <c r="D26" s="125" t="s">
        <v>196</v>
      </c>
      <c r="E26" s="125" t="str">
        <f t="shared" si="0"/>
        <v>ACADEMIC - ARTS, SOCIAL SCIENCE AND HUMANITIES CLUSTER</v>
      </c>
      <c r="F26" s="3">
        <v>2</v>
      </c>
      <c r="G26" s="3">
        <v>2</v>
      </c>
      <c r="H26" s="3" t="str">
        <f t="shared" si="1"/>
        <v>11/12</v>
      </c>
      <c r="L26" s="211">
        <v>20</v>
      </c>
      <c r="N26" s="135"/>
      <c r="O26" s="123" t="str">
        <f t="shared" si="3"/>
        <v/>
      </c>
      <c r="P26" s="135"/>
      <c r="Q26" s="123" t="str">
        <f t="shared" si="3"/>
        <v/>
      </c>
      <c r="R26" s="125">
        <v>20</v>
      </c>
      <c r="S26" s="135"/>
      <c r="T26" s="135"/>
      <c r="U26" s="135"/>
      <c r="V26" s="135"/>
      <c r="AB26" s="125" t="s">
        <v>143</v>
      </c>
      <c r="AC26" s="125" t="s">
        <v>199</v>
      </c>
      <c r="AD26" s="125" t="s">
        <v>201</v>
      </c>
    </row>
    <row r="27" spans="2:30">
      <c r="B27" s="125" t="s">
        <v>137</v>
      </c>
      <c r="C27" s="125" t="s">
        <v>163</v>
      </c>
      <c r="D27" s="125" t="s">
        <v>197</v>
      </c>
      <c r="E27" s="125" t="str">
        <f t="shared" si="0"/>
        <v>ACADEMIC - ARTS, SOCIAL SCIENCE AND HUMANITIES CLUSTER</v>
      </c>
      <c r="F27" s="3">
        <v>2</v>
      </c>
      <c r="G27" s="3">
        <v>2</v>
      </c>
      <c r="H27" s="3" t="str">
        <f t="shared" si="1"/>
        <v>11/12</v>
      </c>
      <c r="L27" s="211">
        <v>21</v>
      </c>
      <c r="N27" s="135"/>
      <c r="O27" s="123" t="str">
        <f t="shared" si="3"/>
        <v/>
      </c>
      <c r="P27" s="135"/>
      <c r="Q27" s="123" t="str">
        <f t="shared" si="3"/>
        <v/>
      </c>
      <c r="R27" s="125">
        <v>21</v>
      </c>
      <c r="S27" s="135"/>
      <c r="T27" s="135"/>
      <c r="U27" s="135"/>
      <c r="V27" s="135"/>
      <c r="AB27" s="125" t="s">
        <v>143</v>
      </c>
      <c r="AC27" s="125" t="s">
        <v>199</v>
      </c>
      <c r="AD27" s="125" t="s">
        <v>202</v>
      </c>
    </row>
    <row r="28" spans="2:30">
      <c r="B28" s="125" t="s">
        <v>137</v>
      </c>
      <c r="C28" s="125" t="s">
        <v>163</v>
      </c>
      <c r="D28" s="125" t="s">
        <v>198</v>
      </c>
      <c r="E28" s="125" t="str">
        <f t="shared" si="0"/>
        <v>ACADEMIC - ARTS, SOCIAL SCIENCE AND HUMANITIES CLUSTER</v>
      </c>
      <c r="F28" s="3">
        <v>2</v>
      </c>
      <c r="G28" s="3">
        <v>2</v>
      </c>
      <c r="H28" s="3" t="str">
        <f t="shared" si="1"/>
        <v>11/12</v>
      </c>
      <c r="L28" s="211">
        <v>22</v>
      </c>
      <c r="N28" s="135"/>
      <c r="O28" s="123" t="str">
        <f t="shared" si="3"/>
        <v/>
      </c>
      <c r="P28" s="135"/>
      <c r="Q28" s="123" t="str">
        <f t="shared" si="3"/>
        <v/>
      </c>
      <c r="R28" s="125">
        <v>22</v>
      </c>
      <c r="S28" s="135"/>
      <c r="T28" s="135"/>
      <c r="U28" s="135"/>
      <c r="V28" s="135"/>
      <c r="AB28" s="125" t="s">
        <v>143</v>
      </c>
      <c r="AC28" s="125" t="s">
        <v>199</v>
      </c>
      <c r="AD28" s="125" t="s">
        <v>203</v>
      </c>
    </row>
    <row r="29" spans="2:30">
      <c r="B29" s="125" t="s">
        <v>137</v>
      </c>
      <c r="C29" s="125" t="s">
        <v>199</v>
      </c>
      <c r="D29" s="125" t="s">
        <v>200</v>
      </c>
      <c r="E29" s="125" t="str">
        <f t="shared" si="0"/>
        <v>ACADEMIC - BUSINESS AND ENTREPRENEURSHIP</v>
      </c>
      <c r="F29" s="3">
        <v>2</v>
      </c>
      <c r="G29" s="3">
        <v>2</v>
      </c>
      <c r="H29" s="3" t="str">
        <f t="shared" si="1"/>
        <v>11/12</v>
      </c>
      <c r="L29" s="211">
        <v>23</v>
      </c>
      <c r="N29" s="135"/>
      <c r="O29" s="123" t="str">
        <f t="shared" si="3"/>
        <v/>
      </c>
      <c r="P29" s="135"/>
      <c r="Q29" s="123" t="str">
        <f t="shared" si="3"/>
        <v/>
      </c>
      <c r="R29" s="125">
        <v>23</v>
      </c>
      <c r="S29" s="135"/>
      <c r="T29" s="135"/>
      <c r="U29" s="135"/>
      <c r="V29" s="135"/>
      <c r="AB29" s="125" t="s">
        <v>143</v>
      </c>
      <c r="AC29" s="125" t="s">
        <v>199</v>
      </c>
      <c r="AD29" s="125" t="s">
        <v>204</v>
      </c>
    </row>
    <row r="30" spans="2:30">
      <c r="B30" s="125" t="s">
        <v>137</v>
      </c>
      <c r="C30" s="125" t="s">
        <v>199</v>
      </c>
      <c r="D30" s="125" t="s">
        <v>201</v>
      </c>
      <c r="E30" s="125" t="str">
        <f t="shared" si="0"/>
        <v>ACADEMIC - BUSINESS AND ENTREPRENEURSHIP</v>
      </c>
      <c r="F30" s="3">
        <v>2</v>
      </c>
      <c r="G30" s="3">
        <v>2</v>
      </c>
      <c r="H30" s="3" t="str">
        <f t="shared" si="1"/>
        <v>11/12</v>
      </c>
      <c r="L30" s="211">
        <v>24</v>
      </c>
      <c r="N30" s="135"/>
      <c r="O30" s="123" t="str">
        <f t="shared" si="3"/>
        <v/>
      </c>
      <c r="P30" s="135"/>
      <c r="Q30" s="123" t="str">
        <f t="shared" si="3"/>
        <v/>
      </c>
      <c r="R30" s="125">
        <v>24</v>
      </c>
      <c r="S30" s="135"/>
      <c r="T30" s="135"/>
      <c r="U30" s="135"/>
      <c r="V30" s="135"/>
      <c r="AB30" s="125" t="s">
        <v>143</v>
      </c>
      <c r="AC30" s="125" t="s">
        <v>199</v>
      </c>
      <c r="AD30" s="125" t="s">
        <v>205</v>
      </c>
    </row>
    <row r="31" spans="2:30">
      <c r="B31" s="125" t="s">
        <v>137</v>
      </c>
      <c r="C31" s="125" t="s">
        <v>199</v>
      </c>
      <c r="D31" s="125" t="s">
        <v>202</v>
      </c>
      <c r="E31" s="125" t="str">
        <f t="shared" si="0"/>
        <v>ACADEMIC - BUSINESS AND ENTREPRENEURSHIP</v>
      </c>
      <c r="F31" s="3">
        <v>2</v>
      </c>
      <c r="G31" s="3">
        <v>2</v>
      </c>
      <c r="H31" s="3" t="str">
        <f t="shared" si="1"/>
        <v>11/12</v>
      </c>
      <c r="L31" s="211">
        <v>25</v>
      </c>
      <c r="N31" s="135"/>
      <c r="O31" s="123" t="str">
        <f t="shared" si="3"/>
        <v/>
      </c>
      <c r="P31" s="135"/>
      <c r="Q31" s="123" t="str">
        <f t="shared" si="3"/>
        <v/>
      </c>
      <c r="R31" s="125">
        <v>25</v>
      </c>
      <c r="S31" s="135"/>
      <c r="T31" s="135"/>
      <c r="U31" s="135"/>
      <c r="V31" s="135"/>
      <c r="AB31" s="125" t="s">
        <v>143</v>
      </c>
      <c r="AC31" s="125" t="s">
        <v>206</v>
      </c>
      <c r="AD31" s="125" t="s">
        <v>207</v>
      </c>
    </row>
    <row r="32" spans="2:30">
      <c r="B32" s="125" t="s">
        <v>137</v>
      </c>
      <c r="C32" s="125" t="s">
        <v>199</v>
      </c>
      <c r="D32" s="125" t="s">
        <v>203</v>
      </c>
      <c r="E32" s="125" t="str">
        <f t="shared" si="0"/>
        <v>ACADEMIC - BUSINESS AND ENTREPRENEURSHIP</v>
      </c>
      <c r="F32" s="3">
        <v>2</v>
      </c>
      <c r="G32" s="3">
        <v>2</v>
      </c>
      <c r="H32" s="3" t="str">
        <f t="shared" si="1"/>
        <v>11/12</v>
      </c>
      <c r="L32" s="211">
        <v>26</v>
      </c>
      <c r="N32" s="135"/>
      <c r="O32" s="123" t="str">
        <f t="shared" si="3"/>
        <v/>
      </c>
      <c r="P32" s="135"/>
      <c r="Q32" s="123" t="str">
        <f t="shared" si="3"/>
        <v/>
      </c>
      <c r="R32" s="125">
        <v>26</v>
      </c>
      <c r="S32" s="135"/>
      <c r="T32" s="135"/>
      <c r="U32" s="135"/>
      <c r="V32" s="135"/>
      <c r="AB32" s="125" t="s">
        <v>143</v>
      </c>
      <c r="AC32" s="125" t="s">
        <v>206</v>
      </c>
      <c r="AD32" s="125" t="s">
        <v>208</v>
      </c>
    </row>
    <row r="33" spans="2:30">
      <c r="B33" s="125" t="s">
        <v>137</v>
      </c>
      <c r="C33" s="125" t="s">
        <v>199</v>
      </c>
      <c r="D33" s="125" t="s">
        <v>204</v>
      </c>
      <c r="E33" s="125" t="str">
        <f t="shared" si="0"/>
        <v>ACADEMIC - BUSINESS AND ENTREPRENEURSHIP</v>
      </c>
      <c r="F33" s="3">
        <v>2</v>
      </c>
      <c r="G33" s="3">
        <v>2</v>
      </c>
      <c r="H33" s="3" t="str">
        <f t="shared" si="1"/>
        <v>11/12</v>
      </c>
      <c r="L33" s="211">
        <v>27</v>
      </c>
      <c r="N33" s="135"/>
      <c r="O33" s="123" t="str">
        <f t="shared" si="3"/>
        <v/>
      </c>
      <c r="P33" s="135"/>
      <c r="Q33" s="123" t="str">
        <f t="shared" si="3"/>
        <v/>
      </c>
      <c r="R33" s="125">
        <v>27</v>
      </c>
      <c r="S33" s="135"/>
      <c r="T33" s="135"/>
      <c r="U33" s="135"/>
      <c r="V33" s="135"/>
      <c r="AB33" s="125" t="s">
        <v>143</v>
      </c>
      <c r="AC33" s="125" t="s">
        <v>206</v>
      </c>
      <c r="AD33" s="125" t="s">
        <v>209</v>
      </c>
    </row>
    <row r="34" spans="2:30">
      <c r="B34" s="125" t="s">
        <v>137</v>
      </c>
      <c r="C34" s="125" t="s">
        <v>199</v>
      </c>
      <c r="D34" s="125" t="s">
        <v>205</v>
      </c>
      <c r="E34" s="125" t="str">
        <f t="shared" si="0"/>
        <v>ACADEMIC - BUSINESS AND ENTREPRENEURSHIP</v>
      </c>
      <c r="F34" s="3">
        <v>2</v>
      </c>
      <c r="G34" s="3">
        <v>2</v>
      </c>
      <c r="H34" s="3" t="str">
        <f t="shared" si="1"/>
        <v>11/12</v>
      </c>
      <c r="L34" s="211">
        <v>28</v>
      </c>
      <c r="N34" s="135"/>
      <c r="O34" s="123" t="str">
        <f t="shared" si="3"/>
        <v/>
      </c>
      <c r="P34" s="135"/>
      <c r="Q34" s="123" t="str">
        <f t="shared" si="3"/>
        <v/>
      </c>
      <c r="R34" s="125">
        <v>28</v>
      </c>
      <c r="S34" s="135"/>
      <c r="T34" s="135"/>
      <c r="U34" s="135"/>
      <c r="V34" s="135"/>
      <c r="AB34" s="125" t="s">
        <v>143</v>
      </c>
      <c r="AC34" s="125" t="s">
        <v>206</v>
      </c>
      <c r="AD34" s="125" t="s">
        <v>210</v>
      </c>
    </row>
    <row r="35" spans="2:30">
      <c r="B35" s="125" t="s">
        <v>137</v>
      </c>
      <c r="C35" s="125" t="s">
        <v>206</v>
      </c>
      <c r="D35" s="125" t="s">
        <v>207</v>
      </c>
      <c r="E35" s="125" t="str">
        <f t="shared" si="0"/>
        <v>ACADEMIC - SCIENCE, TECHNOLOGY, ENGINEERING AND MATHEMATICS</v>
      </c>
      <c r="G35" s="3">
        <v>2</v>
      </c>
      <c r="H35" s="3">
        <f t="shared" si="1"/>
        <v>12</v>
      </c>
      <c r="L35" s="211">
        <v>29</v>
      </c>
      <c r="N35" s="135"/>
      <c r="O35" s="123" t="str">
        <f t="shared" si="3"/>
        <v/>
      </c>
      <c r="P35" s="135"/>
      <c r="Q35" s="123" t="str">
        <f t="shared" si="3"/>
        <v/>
      </c>
      <c r="R35" s="125">
        <v>29</v>
      </c>
      <c r="S35" s="135"/>
      <c r="T35" s="135"/>
      <c r="U35" s="135"/>
      <c r="V35" s="135"/>
      <c r="AB35" s="125" t="s">
        <v>143</v>
      </c>
      <c r="AC35" s="125" t="s">
        <v>206</v>
      </c>
      <c r="AD35" s="125" t="s">
        <v>211</v>
      </c>
    </row>
    <row r="36" spans="2:30">
      <c r="B36" s="125" t="s">
        <v>137</v>
      </c>
      <c r="C36" s="125" t="s">
        <v>206</v>
      </c>
      <c r="D36" s="125" t="s">
        <v>208</v>
      </c>
      <c r="E36" s="125" t="str">
        <f t="shared" si="0"/>
        <v>ACADEMIC - SCIENCE, TECHNOLOGY, ENGINEERING AND MATHEMATICS</v>
      </c>
      <c r="G36" s="3">
        <v>2</v>
      </c>
      <c r="H36" s="3">
        <f t="shared" si="1"/>
        <v>12</v>
      </c>
      <c r="L36" s="211">
        <v>30</v>
      </c>
      <c r="N36" s="135"/>
      <c r="O36" s="123" t="str">
        <f t="shared" si="3"/>
        <v/>
      </c>
      <c r="P36" s="135"/>
      <c r="Q36" s="123" t="str">
        <f t="shared" si="3"/>
        <v/>
      </c>
      <c r="R36" s="125">
        <v>30</v>
      </c>
      <c r="S36" s="135"/>
      <c r="T36" s="135"/>
      <c r="U36" s="135"/>
      <c r="V36" s="135"/>
      <c r="AB36" s="125" t="s">
        <v>143</v>
      </c>
      <c r="AC36" s="125" t="s">
        <v>206</v>
      </c>
      <c r="AD36" s="125" t="s">
        <v>212</v>
      </c>
    </row>
    <row r="37" spans="2:30">
      <c r="B37" s="125" t="s">
        <v>137</v>
      </c>
      <c r="C37" s="125" t="s">
        <v>206</v>
      </c>
      <c r="D37" s="125" t="s">
        <v>209</v>
      </c>
      <c r="E37" s="125" t="str">
        <f t="shared" si="0"/>
        <v>ACADEMIC - SCIENCE, TECHNOLOGY, ENGINEERING AND MATHEMATICS</v>
      </c>
      <c r="F37" s="3">
        <v>2</v>
      </c>
      <c r="H37" s="3">
        <f t="shared" si="1"/>
        <v>11</v>
      </c>
      <c r="L37" s="211">
        <v>31</v>
      </c>
      <c r="N37" s="135"/>
      <c r="O37" s="123" t="str">
        <f t="shared" si="3"/>
        <v/>
      </c>
      <c r="P37" s="135"/>
      <c r="Q37" s="123" t="str">
        <f t="shared" si="3"/>
        <v/>
      </c>
      <c r="R37" s="125">
        <v>31</v>
      </c>
      <c r="S37" s="135"/>
      <c r="T37" s="135"/>
      <c r="U37" s="135"/>
      <c r="V37" s="135"/>
      <c r="AB37" s="125" t="s">
        <v>143</v>
      </c>
      <c r="AC37" s="125" t="s">
        <v>206</v>
      </c>
      <c r="AD37" s="125" t="s">
        <v>213</v>
      </c>
    </row>
    <row r="38" spans="2:30">
      <c r="B38" s="125" t="s">
        <v>137</v>
      </c>
      <c r="C38" s="125" t="s">
        <v>206</v>
      </c>
      <c r="D38" s="125" t="s">
        <v>210</v>
      </c>
      <c r="E38" s="125" t="str">
        <f t="shared" ref="E38:E69" si="4">B38&amp;" - "&amp;C38</f>
        <v>ACADEMIC - SCIENCE, TECHNOLOGY, ENGINEERING AND MATHEMATICS</v>
      </c>
      <c r="F38" s="3">
        <v>2</v>
      </c>
      <c r="H38" s="3">
        <f t="shared" si="1"/>
        <v>11</v>
      </c>
      <c r="L38" s="211">
        <v>32</v>
      </c>
      <c r="N38" s="135"/>
      <c r="O38" s="123" t="str">
        <f t="shared" si="3"/>
        <v/>
      </c>
      <c r="P38" s="135"/>
      <c r="Q38" s="123" t="str">
        <f t="shared" si="3"/>
        <v/>
      </c>
      <c r="R38" s="125">
        <v>32</v>
      </c>
      <c r="S38" s="135"/>
      <c r="T38" s="135"/>
      <c r="U38" s="135"/>
      <c r="V38" s="135"/>
      <c r="AB38" s="125" t="s">
        <v>143</v>
      </c>
      <c r="AC38" s="125" t="s">
        <v>206</v>
      </c>
      <c r="AD38" s="125" t="s">
        <v>214</v>
      </c>
    </row>
    <row r="39" spans="2:30">
      <c r="B39" s="125" t="s">
        <v>137</v>
      </c>
      <c r="C39" s="125" t="s">
        <v>206</v>
      </c>
      <c r="D39" s="125" t="s">
        <v>211</v>
      </c>
      <c r="E39" s="125" t="str">
        <f t="shared" si="4"/>
        <v>ACADEMIC - SCIENCE, TECHNOLOGY, ENGINEERING AND MATHEMATICS</v>
      </c>
      <c r="G39" s="3">
        <v>2</v>
      </c>
      <c r="H39" s="3">
        <f t="shared" si="1"/>
        <v>12</v>
      </c>
      <c r="L39" s="211">
        <v>33</v>
      </c>
      <c r="N39" s="135"/>
      <c r="O39" s="123" t="str">
        <f t="shared" si="3"/>
        <v/>
      </c>
      <c r="P39" s="135"/>
      <c r="Q39" s="123" t="str">
        <f t="shared" si="3"/>
        <v/>
      </c>
      <c r="R39" s="125">
        <v>33</v>
      </c>
      <c r="S39" s="135"/>
      <c r="T39" s="135"/>
      <c r="U39" s="135"/>
      <c r="V39" s="135"/>
      <c r="AB39" s="125" t="s">
        <v>143</v>
      </c>
      <c r="AC39" s="125" t="s">
        <v>206</v>
      </c>
      <c r="AD39" s="125" t="s">
        <v>215</v>
      </c>
    </row>
    <row r="40" spans="2:30">
      <c r="B40" s="125" t="s">
        <v>137</v>
      </c>
      <c r="C40" s="125" t="s">
        <v>206</v>
      </c>
      <c r="D40" s="125" t="s">
        <v>212</v>
      </c>
      <c r="E40" s="125" t="str">
        <f t="shared" si="4"/>
        <v>ACADEMIC - SCIENCE, TECHNOLOGY, ENGINEERING AND MATHEMATICS</v>
      </c>
      <c r="G40" s="3">
        <v>2</v>
      </c>
      <c r="H40" s="3">
        <f t="shared" si="1"/>
        <v>12</v>
      </c>
      <c r="L40" s="211">
        <v>34</v>
      </c>
      <c r="N40" s="135"/>
      <c r="O40" s="123" t="str">
        <f t="shared" si="3"/>
        <v/>
      </c>
      <c r="P40" s="135"/>
      <c r="Q40" s="123" t="str">
        <f t="shared" si="3"/>
        <v/>
      </c>
      <c r="R40" s="125">
        <v>34</v>
      </c>
      <c r="S40" s="135"/>
      <c r="T40" s="135"/>
      <c r="U40" s="135"/>
      <c r="V40" s="135"/>
      <c r="AB40" s="125" t="s">
        <v>143</v>
      </c>
      <c r="AC40" s="125" t="s">
        <v>206</v>
      </c>
      <c r="AD40" s="125" t="s">
        <v>216</v>
      </c>
    </row>
    <row r="41" spans="2:30">
      <c r="B41" s="125" t="s">
        <v>137</v>
      </c>
      <c r="C41" s="125" t="s">
        <v>206</v>
      </c>
      <c r="D41" s="125" t="s">
        <v>213</v>
      </c>
      <c r="E41" s="125" t="str">
        <f t="shared" si="4"/>
        <v>ACADEMIC - SCIENCE, TECHNOLOGY, ENGINEERING AND MATHEMATICS</v>
      </c>
      <c r="F41" s="3">
        <v>2</v>
      </c>
      <c r="H41" s="3">
        <f t="shared" si="1"/>
        <v>11</v>
      </c>
      <c r="L41" s="211">
        <v>35</v>
      </c>
      <c r="N41" s="135"/>
      <c r="O41" s="123" t="str">
        <f t="shared" si="3"/>
        <v/>
      </c>
      <c r="P41" s="135"/>
      <c r="Q41" s="123" t="str">
        <f t="shared" si="3"/>
        <v/>
      </c>
      <c r="R41" s="125">
        <v>35</v>
      </c>
      <c r="S41" s="135"/>
      <c r="T41" s="135"/>
      <c r="U41" s="135"/>
      <c r="V41" s="135"/>
      <c r="AB41" s="125" t="s">
        <v>143</v>
      </c>
      <c r="AC41" s="125" t="s">
        <v>206</v>
      </c>
      <c r="AD41" s="125" t="s">
        <v>217</v>
      </c>
    </row>
    <row r="42" spans="2:30">
      <c r="B42" s="125" t="s">
        <v>137</v>
      </c>
      <c r="C42" s="125" t="s">
        <v>206</v>
      </c>
      <c r="D42" s="125" t="s">
        <v>214</v>
      </c>
      <c r="E42" s="125" t="str">
        <f t="shared" si="4"/>
        <v>ACADEMIC - SCIENCE, TECHNOLOGY, ENGINEERING AND MATHEMATICS</v>
      </c>
      <c r="F42" s="3">
        <v>2</v>
      </c>
      <c r="H42" s="3">
        <f t="shared" si="1"/>
        <v>11</v>
      </c>
      <c r="L42" s="211">
        <v>36</v>
      </c>
      <c r="N42" s="135"/>
      <c r="O42" s="123" t="str">
        <f t="shared" si="3"/>
        <v/>
      </c>
      <c r="P42" s="135"/>
      <c r="Q42" s="123" t="str">
        <f t="shared" si="3"/>
        <v/>
      </c>
      <c r="R42" s="125">
        <v>36</v>
      </c>
      <c r="S42" s="135"/>
      <c r="T42" s="135"/>
      <c r="U42" s="135"/>
      <c r="V42" s="135"/>
      <c r="AB42" s="125" t="s">
        <v>143</v>
      </c>
      <c r="AC42" s="125" t="s">
        <v>206</v>
      </c>
      <c r="AD42" s="125" t="s">
        <v>218</v>
      </c>
    </row>
    <row r="43" spans="2:30">
      <c r="B43" s="125" t="s">
        <v>137</v>
      </c>
      <c r="C43" s="125" t="s">
        <v>206</v>
      </c>
      <c r="D43" s="125" t="s">
        <v>215</v>
      </c>
      <c r="E43" s="125" t="str">
        <f t="shared" si="4"/>
        <v>ACADEMIC - SCIENCE, TECHNOLOGY, ENGINEERING AND MATHEMATICS</v>
      </c>
      <c r="G43" s="3">
        <v>2</v>
      </c>
      <c r="H43" s="3">
        <f t="shared" si="1"/>
        <v>12</v>
      </c>
      <c r="L43" s="211">
        <v>37</v>
      </c>
      <c r="N43" s="135"/>
      <c r="O43" s="123" t="str">
        <f t="shared" si="3"/>
        <v/>
      </c>
      <c r="P43" s="135"/>
      <c r="Q43" s="123" t="str">
        <f t="shared" si="3"/>
        <v/>
      </c>
      <c r="R43" s="125">
        <v>37</v>
      </c>
      <c r="S43" s="135"/>
      <c r="T43" s="135"/>
      <c r="U43" s="135"/>
      <c r="V43" s="135"/>
      <c r="AB43" s="125" t="s">
        <v>143</v>
      </c>
      <c r="AC43" s="125" t="s">
        <v>206</v>
      </c>
      <c r="AD43" s="125" t="s">
        <v>219</v>
      </c>
    </row>
    <row r="44" spans="2:30">
      <c r="B44" s="125" t="s">
        <v>137</v>
      </c>
      <c r="C44" s="125" t="s">
        <v>206</v>
      </c>
      <c r="D44" s="125" t="s">
        <v>216</v>
      </c>
      <c r="E44" s="125" t="str">
        <f t="shared" si="4"/>
        <v>ACADEMIC - SCIENCE, TECHNOLOGY, ENGINEERING AND MATHEMATICS</v>
      </c>
      <c r="G44" s="3">
        <v>2</v>
      </c>
      <c r="H44" s="3">
        <f t="shared" si="1"/>
        <v>12</v>
      </c>
      <c r="L44" s="211">
        <v>38</v>
      </c>
      <c r="N44" s="135"/>
      <c r="O44" s="123" t="str">
        <f t="shared" si="3"/>
        <v/>
      </c>
      <c r="P44" s="135"/>
      <c r="Q44" s="123" t="str">
        <f t="shared" si="3"/>
        <v/>
      </c>
      <c r="R44" s="125">
        <v>38</v>
      </c>
      <c r="S44" s="135"/>
      <c r="T44" s="135"/>
      <c r="U44" s="135"/>
      <c r="V44" s="135"/>
      <c r="AB44" s="125" t="s">
        <v>143</v>
      </c>
      <c r="AC44" s="125" t="s">
        <v>206</v>
      </c>
      <c r="AD44" s="125" t="s">
        <v>220</v>
      </c>
    </row>
    <row r="45" spans="2:30">
      <c r="B45" s="125" t="s">
        <v>137</v>
      </c>
      <c r="C45" s="125" t="s">
        <v>206</v>
      </c>
      <c r="D45" s="125" t="s">
        <v>217</v>
      </c>
      <c r="E45" s="125" t="str">
        <f t="shared" si="4"/>
        <v>ACADEMIC - SCIENCE, TECHNOLOGY, ENGINEERING AND MATHEMATICS</v>
      </c>
      <c r="F45" s="3">
        <v>2</v>
      </c>
      <c r="G45" s="3">
        <v>2</v>
      </c>
      <c r="H45" s="3" t="str">
        <f t="shared" si="1"/>
        <v>11/12</v>
      </c>
      <c r="L45" s="211">
        <v>39</v>
      </c>
      <c r="N45" s="135"/>
      <c r="O45" s="123" t="str">
        <f t="shared" si="3"/>
        <v/>
      </c>
      <c r="P45" s="135"/>
      <c r="Q45" s="123" t="str">
        <f t="shared" si="3"/>
        <v/>
      </c>
      <c r="R45" s="125">
        <v>39</v>
      </c>
      <c r="S45" s="135"/>
      <c r="T45" s="135"/>
      <c r="U45" s="135"/>
      <c r="V45" s="135"/>
      <c r="AB45" s="125" t="s">
        <v>143</v>
      </c>
      <c r="AC45" s="125" t="s">
        <v>206</v>
      </c>
      <c r="AD45" s="125" t="s">
        <v>221</v>
      </c>
    </row>
    <row r="46" spans="2:30">
      <c r="B46" s="125" t="s">
        <v>137</v>
      </c>
      <c r="C46" s="125" t="s">
        <v>206</v>
      </c>
      <c r="D46" s="125" t="s">
        <v>218</v>
      </c>
      <c r="E46" s="125" t="str">
        <f t="shared" si="4"/>
        <v>ACADEMIC - SCIENCE, TECHNOLOGY, ENGINEERING AND MATHEMATICS</v>
      </c>
      <c r="F46" s="3">
        <v>2</v>
      </c>
      <c r="H46" s="3">
        <f t="shared" si="1"/>
        <v>11</v>
      </c>
      <c r="L46" s="211">
        <v>40</v>
      </c>
      <c r="N46" s="135"/>
      <c r="O46" s="123" t="str">
        <f t="shared" si="3"/>
        <v/>
      </c>
      <c r="P46" s="135"/>
      <c r="Q46" s="123" t="str">
        <f t="shared" si="3"/>
        <v/>
      </c>
      <c r="R46" s="125">
        <v>40</v>
      </c>
      <c r="S46" s="135"/>
      <c r="T46" s="135"/>
      <c r="U46" s="135"/>
      <c r="V46" s="135"/>
      <c r="AB46" s="125" t="s">
        <v>143</v>
      </c>
      <c r="AC46" s="125" t="s">
        <v>206</v>
      </c>
      <c r="AD46" s="125" t="s">
        <v>222</v>
      </c>
    </row>
    <row r="47" spans="2:30">
      <c r="B47" s="125" t="s">
        <v>137</v>
      </c>
      <c r="C47" s="125" t="s">
        <v>206</v>
      </c>
      <c r="D47" s="125" t="s">
        <v>219</v>
      </c>
      <c r="E47" s="125" t="str">
        <f t="shared" si="4"/>
        <v>ACADEMIC - SCIENCE, TECHNOLOGY, ENGINEERING AND MATHEMATICS</v>
      </c>
      <c r="F47" s="3">
        <v>2</v>
      </c>
      <c r="H47" s="3">
        <f t="shared" si="1"/>
        <v>11</v>
      </c>
      <c r="L47" s="211">
        <v>41</v>
      </c>
      <c r="N47" s="135"/>
      <c r="O47" s="123" t="str">
        <f t="shared" si="3"/>
        <v/>
      </c>
      <c r="P47" s="135"/>
      <c r="Q47" s="123" t="str">
        <f t="shared" si="3"/>
        <v/>
      </c>
      <c r="R47" s="125">
        <v>41</v>
      </c>
      <c r="S47" s="135"/>
      <c r="T47" s="135"/>
      <c r="U47" s="135"/>
      <c r="V47" s="135"/>
      <c r="AB47" s="125" t="s">
        <v>143</v>
      </c>
      <c r="AC47" s="125" t="s">
        <v>206</v>
      </c>
      <c r="AD47" s="125" t="s">
        <v>223</v>
      </c>
    </row>
    <row r="48" spans="2:30">
      <c r="B48" s="125" t="s">
        <v>137</v>
      </c>
      <c r="C48" s="125" t="s">
        <v>206</v>
      </c>
      <c r="D48" s="125" t="s">
        <v>220</v>
      </c>
      <c r="E48" s="125" t="str">
        <f t="shared" si="4"/>
        <v>ACADEMIC - SCIENCE, TECHNOLOGY, ENGINEERING AND MATHEMATICS</v>
      </c>
      <c r="G48" s="3">
        <v>2</v>
      </c>
      <c r="H48" s="3">
        <f t="shared" si="1"/>
        <v>12</v>
      </c>
      <c r="L48" s="211">
        <v>42</v>
      </c>
      <c r="N48" s="135"/>
      <c r="O48" s="123" t="str">
        <f t="shared" si="3"/>
        <v/>
      </c>
      <c r="P48" s="135"/>
      <c r="Q48" s="123" t="str">
        <f t="shared" si="3"/>
        <v/>
      </c>
      <c r="R48" s="125">
        <v>42</v>
      </c>
      <c r="S48" s="135"/>
      <c r="T48" s="135"/>
      <c r="U48" s="135"/>
      <c r="V48" s="135"/>
      <c r="AB48" s="125" t="s">
        <v>143</v>
      </c>
      <c r="AC48" s="125" t="s">
        <v>206</v>
      </c>
      <c r="AD48" s="125" t="s">
        <v>224</v>
      </c>
    </row>
    <row r="49" spans="2:30">
      <c r="B49" s="125" t="s">
        <v>137</v>
      </c>
      <c r="C49" s="125" t="s">
        <v>206</v>
      </c>
      <c r="D49" s="125" t="s">
        <v>221</v>
      </c>
      <c r="E49" s="125" t="str">
        <f t="shared" si="4"/>
        <v>ACADEMIC - SCIENCE, TECHNOLOGY, ENGINEERING AND MATHEMATICS</v>
      </c>
      <c r="G49" s="3">
        <v>2</v>
      </c>
      <c r="H49" s="3">
        <f t="shared" si="1"/>
        <v>12</v>
      </c>
      <c r="L49" s="211">
        <v>43</v>
      </c>
      <c r="N49" s="135"/>
      <c r="O49" s="123" t="str">
        <f t="shared" si="3"/>
        <v/>
      </c>
      <c r="P49" s="135"/>
      <c r="Q49" s="123" t="str">
        <f t="shared" si="3"/>
        <v/>
      </c>
      <c r="R49" s="125">
        <v>43</v>
      </c>
      <c r="S49" s="135"/>
      <c r="T49" s="135"/>
      <c r="U49" s="135"/>
      <c r="V49" s="135"/>
      <c r="AB49" s="125" t="s">
        <v>143</v>
      </c>
      <c r="AC49" s="125" t="s">
        <v>206</v>
      </c>
      <c r="AD49" s="125" t="s">
        <v>225</v>
      </c>
    </row>
    <row r="50" spans="2:30">
      <c r="B50" s="125" t="s">
        <v>137</v>
      </c>
      <c r="C50" s="125" t="s">
        <v>206</v>
      </c>
      <c r="D50" s="125" t="s">
        <v>222</v>
      </c>
      <c r="E50" s="125" t="str">
        <f t="shared" si="4"/>
        <v>ACADEMIC - SCIENCE, TECHNOLOGY, ENGINEERING AND MATHEMATICS</v>
      </c>
      <c r="F50" s="3">
        <v>2</v>
      </c>
      <c r="G50" s="3">
        <v>2</v>
      </c>
      <c r="H50" s="3" t="str">
        <f t="shared" si="1"/>
        <v>11/12</v>
      </c>
      <c r="L50" s="211">
        <v>44</v>
      </c>
      <c r="N50" s="135"/>
      <c r="O50" s="123" t="str">
        <f t="shared" si="3"/>
        <v/>
      </c>
      <c r="P50" s="135"/>
      <c r="Q50" s="123" t="str">
        <f t="shared" si="3"/>
        <v/>
      </c>
      <c r="R50" s="125">
        <v>44</v>
      </c>
      <c r="S50" s="135"/>
      <c r="T50" s="135"/>
      <c r="U50" s="135"/>
      <c r="V50" s="135"/>
      <c r="AB50" s="125" t="s">
        <v>143</v>
      </c>
      <c r="AC50" s="125" t="s">
        <v>206</v>
      </c>
      <c r="AD50" s="125" t="s">
        <v>226</v>
      </c>
    </row>
    <row r="51" spans="2:30">
      <c r="B51" s="125" t="s">
        <v>137</v>
      </c>
      <c r="C51" s="125" t="s">
        <v>206</v>
      </c>
      <c r="D51" s="125" t="s">
        <v>223</v>
      </c>
      <c r="E51" s="125" t="str">
        <f t="shared" si="4"/>
        <v>ACADEMIC - SCIENCE, TECHNOLOGY, ENGINEERING AND MATHEMATICS</v>
      </c>
      <c r="F51" s="3">
        <v>2</v>
      </c>
      <c r="G51" s="3">
        <v>2</v>
      </c>
      <c r="H51" s="3" t="str">
        <f t="shared" si="1"/>
        <v>11/12</v>
      </c>
      <c r="L51" s="211">
        <v>45</v>
      </c>
      <c r="N51" s="135"/>
      <c r="O51" s="123" t="str">
        <f t="shared" si="3"/>
        <v/>
      </c>
      <c r="P51" s="135"/>
      <c r="Q51" s="123" t="str">
        <f t="shared" si="3"/>
        <v/>
      </c>
      <c r="R51" s="125">
        <v>45</v>
      </c>
      <c r="S51" s="135"/>
      <c r="T51" s="135"/>
      <c r="U51" s="135"/>
      <c r="V51" s="135"/>
      <c r="AB51" s="125" t="s">
        <v>143</v>
      </c>
      <c r="AC51" s="125" t="s">
        <v>206</v>
      </c>
      <c r="AD51" s="125" t="s">
        <v>227</v>
      </c>
    </row>
    <row r="52" spans="2:30">
      <c r="B52" s="125" t="s">
        <v>137</v>
      </c>
      <c r="C52" s="125" t="s">
        <v>206</v>
      </c>
      <c r="D52" s="125" t="s">
        <v>224</v>
      </c>
      <c r="E52" s="125" t="str">
        <f t="shared" si="4"/>
        <v>ACADEMIC - SCIENCE, TECHNOLOGY, ENGINEERING AND MATHEMATICS</v>
      </c>
      <c r="F52" s="3">
        <v>2</v>
      </c>
      <c r="G52" s="3">
        <v>2</v>
      </c>
      <c r="H52" s="3" t="str">
        <f t="shared" si="1"/>
        <v>11/12</v>
      </c>
      <c r="L52" s="211">
        <v>46</v>
      </c>
      <c r="N52" s="135"/>
      <c r="O52" s="123" t="str">
        <f t="shared" si="3"/>
        <v/>
      </c>
      <c r="P52" s="135"/>
      <c r="Q52" s="123" t="str">
        <f t="shared" si="3"/>
        <v/>
      </c>
      <c r="R52" s="125">
        <v>46</v>
      </c>
      <c r="S52" s="135"/>
      <c r="T52" s="135"/>
      <c r="U52" s="135"/>
      <c r="V52" s="135"/>
      <c r="AB52" s="125" t="s">
        <v>143</v>
      </c>
      <c r="AC52" s="125" t="s">
        <v>206</v>
      </c>
      <c r="AD52" s="125" t="s">
        <v>228</v>
      </c>
    </row>
    <row r="53" spans="2:30">
      <c r="B53" s="125" t="s">
        <v>137</v>
      </c>
      <c r="C53" s="125" t="s">
        <v>206</v>
      </c>
      <c r="D53" s="125" t="s">
        <v>225</v>
      </c>
      <c r="E53" s="125" t="str">
        <f t="shared" si="4"/>
        <v>ACADEMIC - SCIENCE, TECHNOLOGY, ENGINEERING AND MATHEMATICS</v>
      </c>
      <c r="F53" s="3">
        <v>2</v>
      </c>
      <c r="G53" s="3">
        <v>2</v>
      </c>
      <c r="H53" s="3" t="str">
        <f t="shared" si="1"/>
        <v>11/12</v>
      </c>
      <c r="L53" s="211">
        <v>47</v>
      </c>
      <c r="N53" s="135"/>
      <c r="O53" s="123" t="str">
        <f t="shared" si="3"/>
        <v/>
      </c>
      <c r="P53" s="135"/>
      <c r="Q53" s="123" t="str">
        <f t="shared" si="3"/>
        <v/>
      </c>
      <c r="R53" s="125">
        <v>47</v>
      </c>
      <c r="S53" s="135"/>
      <c r="T53" s="135"/>
      <c r="U53" s="135"/>
      <c r="V53" s="135"/>
      <c r="AB53" s="125" t="s">
        <v>143</v>
      </c>
      <c r="AC53" s="125" t="s">
        <v>206</v>
      </c>
      <c r="AD53" s="125" t="s">
        <v>229</v>
      </c>
    </row>
    <row r="54" spans="2:30">
      <c r="B54" s="125" t="s">
        <v>137</v>
      </c>
      <c r="C54" s="125" t="s">
        <v>206</v>
      </c>
      <c r="D54" s="125" t="s">
        <v>226</v>
      </c>
      <c r="E54" s="125" t="str">
        <f t="shared" si="4"/>
        <v>ACADEMIC - SCIENCE, TECHNOLOGY, ENGINEERING AND MATHEMATICS</v>
      </c>
      <c r="G54" s="3">
        <v>2</v>
      </c>
      <c r="H54" s="3">
        <f t="shared" si="1"/>
        <v>12</v>
      </c>
      <c r="L54" s="211">
        <v>48</v>
      </c>
      <c r="N54" s="135"/>
      <c r="O54" s="123" t="str">
        <f t="shared" si="3"/>
        <v/>
      </c>
      <c r="P54" s="135"/>
      <c r="Q54" s="123" t="str">
        <f t="shared" si="3"/>
        <v/>
      </c>
      <c r="R54" s="125">
        <v>48</v>
      </c>
      <c r="S54" s="135"/>
      <c r="T54" s="135"/>
      <c r="U54" s="135"/>
      <c r="V54" s="135"/>
      <c r="AB54" s="125" t="s">
        <v>143</v>
      </c>
      <c r="AC54" s="125" t="s">
        <v>206</v>
      </c>
      <c r="AD54" s="125" t="s">
        <v>230</v>
      </c>
    </row>
    <row r="55" spans="2:30">
      <c r="B55" s="125" t="s">
        <v>137</v>
      </c>
      <c r="C55" s="125" t="s">
        <v>206</v>
      </c>
      <c r="D55" s="125" t="s">
        <v>227</v>
      </c>
      <c r="E55" s="125" t="str">
        <f t="shared" si="4"/>
        <v>ACADEMIC - SCIENCE, TECHNOLOGY, ENGINEERING AND MATHEMATICS</v>
      </c>
      <c r="G55" s="3">
        <v>2</v>
      </c>
      <c r="H55" s="3">
        <f t="shared" si="1"/>
        <v>12</v>
      </c>
      <c r="L55" s="211">
        <v>49</v>
      </c>
      <c r="N55" s="135"/>
      <c r="O55" s="123" t="str">
        <f t="shared" si="3"/>
        <v/>
      </c>
      <c r="P55" s="135"/>
      <c r="Q55" s="123" t="str">
        <f t="shared" si="3"/>
        <v/>
      </c>
      <c r="R55" s="125">
        <v>49</v>
      </c>
      <c r="S55" s="135"/>
      <c r="T55" s="135"/>
      <c r="U55" s="135"/>
      <c r="V55" s="135"/>
      <c r="AB55" s="125" t="s">
        <v>143</v>
      </c>
      <c r="AC55" s="125" t="s">
        <v>206</v>
      </c>
      <c r="AD55" s="125" t="s">
        <v>231</v>
      </c>
    </row>
    <row r="56" spans="2:30">
      <c r="B56" s="125" t="s">
        <v>137</v>
      </c>
      <c r="C56" s="125" t="s">
        <v>206</v>
      </c>
      <c r="D56" s="125" t="s">
        <v>228</v>
      </c>
      <c r="E56" s="125" t="str">
        <f t="shared" si="4"/>
        <v>ACADEMIC - SCIENCE, TECHNOLOGY, ENGINEERING AND MATHEMATICS</v>
      </c>
      <c r="F56" s="3">
        <v>2</v>
      </c>
      <c r="H56" s="3">
        <f t="shared" si="1"/>
        <v>11</v>
      </c>
      <c r="L56" s="211">
        <v>50</v>
      </c>
      <c r="N56" s="135"/>
      <c r="O56" s="123" t="str">
        <f t="shared" si="3"/>
        <v/>
      </c>
      <c r="P56" s="135"/>
      <c r="Q56" s="123" t="str">
        <f t="shared" si="3"/>
        <v/>
      </c>
      <c r="R56" s="125">
        <v>50</v>
      </c>
      <c r="S56" s="135"/>
      <c r="T56" s="135"/>
      <c r="U56" s="135"/>
      <c r="V56" s="135"/>
      <c r="AB56" s="125" t="s">
        <v>143</v>
      </c>
      <c r="AC56" s="125" t="s">
        <v>206</v>
      </c>
      <c r="AD56" s="125" t="s">
        <v>232</v>
      </c>
    </row>
    <row r="57" spans="2:30">
      <c r="B57" s="125" t="s">
        <v>137</v>
      </c>
      <c r="C57" s="125" t="s">
        <v>206</v>
      </c>
      <c r="D57" s="125" t="s">
        <v>229</v>
      </c>
      <c r="E57" s="125" t="str">
        <f t="shared" si="4"/>
        <v>ACADEMIC - SCIENCE, TECHNOLOGY, ENGINEERING AND MATHEMATICS</v>
      </c>
      <c r="F57" s="3">
        <v>2</v>
      </c>
      <c r="H57" s="3">
        <f t="shared" si="1"/>
        <v>11</v>
      </c>
      <c r="L57" s="211">
        <v>51</v>
      </c>
      <c r="N57" s="135"/>
      <c r="O57" s="123" t="str">
        <f t="shared" si="3"/>
        <v/>
      </c>
      <c r="P57" s="135"/>
      <c r="Q57" s="123" t="str">
        <f t="shared" si="3"/>
        <v/>
      </c>
      <c r="R57" s="125">
        <v>51</v>
      </c>
      <c r="S57" s="135"/>
      <c r="T57" s="135"/>
      <c r="U57" s="135"/>
      <c r="V57" s="135"/>
      <c r="AB57" s="125" t="s">
        <v>143</v>
      </c>
      <c r="AC57" s="125" t="s">
        <v>206</v>
      </c>
      <c r="AD57" s="125" t="s">
        <v>233</v>
      </c>
    </row>
    <row r="58" spans="2:30">
      <c r="B58" s="125" t="s">
        <v>137</v>
      </c>
      <c r="C58" s="125" t="s">
        <v>206</v>
      </c>
      <c r="D58" s="125" t="s">
        <v>230</v>
      </c>
      <c r="E58" s="125" t="str">
        <f t="shared" si="4"/>
        <v>ACADEMIC - SCIENCE, TECHNOLOGY, ENGINEERING AND MATHEMATICS</v>
      </c>
      <c r="G58" s="3">
        <v>2</v>
      </c>
      <c r="H58" s="3">
        <f t="shared" si="1"/>
        <v>12</v>
      </c>
      <c r="L58" s="211">
        <v>52</v>
      </c>
      <c r="N58" s="135"/>
      <c r="O58" s="123" t="str">
        <f t="shared" si="3"/>
        <v/>
      </c>
      <c r="P58" s="135"/>
      <c r="Q58" s="123" t="str">
        <f t="shared" si="3"/>
        <v/>
      </c>
      <c r="R58" s="125">
        <v>52</v>
      </c>
      <c r="S58" s="135"/>
      <c r="T58" s="135"/>
      <c r="U58" s="135"/>
      <c r="V58" s="135"/>
      <c r="AB58" s="125" t="s">
        <v>143</v>
      </c>
      <c r="AC58" s="125" t="s">
        <v>206</v>
      </c>
      <c r="AD58" s="125" t="s">
        <v>234</v>
      </c>
    </row>
    <row r="59" spans="2:30">
      <c r="B59" s="125" t="s">
        <v>137</v>
      </c>
      <c r="C59" s="125" t="s">
        <v>206</v>
      </c>
      <c r="D59" s="125" t="s">
        <v>231</v>
      </c>
      <c r="E59" s="125" t="str">
        <f t="shared" si="4"/>
        <v>ACADEMIC - SCIENCE, TECHNOLOGY, ENGINEERING AND MATHEMATICS</v>
      </c>
      <c r="G59" s="3">
        <v>2</v>
      </c>
      <c r="H59" s="3">
        <f t="shared" si="1"/>
        <v>12</v>
      </c>
      <c r="L59" s="211">
        <v>53</v>
      </c>
      <c r="N59" s="135"/>
      <c r="O59" s="123" t="str">
        <f t="shared" si="3"/>
        <v/>
      </c>
      <c r="P59" s="135"/>
      <c r="Q59" s="123" t="str">
        <f t="shared" si="3"/>
        <v/>
      </c>
      <c r="R59" s="125">
        <v>53</v>
      </c>
      <c r="S59" s="135"/>
      <c r="T59" s="135"/>
      <c r="U59" s="135"/>
      <c r="V59" s="135"/>
      <c r="AB59" s="125" t="s">
        <v>143</v>
      </c>
      <c r="AC59" s="125" t="s">
        <v>206</v>
      </c>
      <c r="AD59" s="125" t="s">
        <v>235</v>
      </c>
    </row>
    <row r="60" spans="2:30">
      <c r="B60" s="125" t="s">
        <v>137</v>
      </c>
      <c r="C60" s="125" t="s">
        <v>206</v>
      </c>
      <c r="D60" s="125" t="s">
        <v>232</v>
      </c>
      <c r="E60" s="125" t="str">
        <f t="shared" si="4"/>
        <v>ACADEMIC - SCIENCE, TECHNOLOGY, ENGINEERING AND MATHEMATICS</v>
      </c>
      <c r="G60" s="3">
        <v>2</v>
      </c>
      <c r="H60" s="3">
        <f t="shared" si="1"/>
        <v>12</v>
      </c>
      <c r="L60" s="211">
        <v>54</v>
      </c>
      <c r="N60" s="135"/>
      <c r="O60" s="123" t="str">
        <f t="shared" si="3"/>
        <v/>
      </c>
      <c r="P60" s="135"/>
      <c r="Q60" s="123" t="str">
        <f t="shared" si="3"/>
        <v/>
      </c>
      <c r="R60" s="125">
        <v>54</v>
      </c>
      <c r="S60" s="135"/>
      <c r="T60" s="135"/>
      <c r="U60" s="135"/>
      <c r="V60" s="135"/>
      <c r="AB60" s="125" t="s">
        <v>143</v>
      </c>
      <c r="AC60" s="125" t="s">
        <v>236</v>
      </c>
      <c r="AD60" s="125" t="s">
        <v>237</v>
      </c>
    </row>
    <row r="61" spans="2:30">
      <c r="B61" s="125" t="s">
        <v>137</v>
      </c>
      <c r="C61" s="125" t="s">
        <v>206</v>
      </c>
      <c r="D61" s="125" t="s">
        <v>233</v>
      </c>
      <c r="E61" s="125" t="str">
        <f t="shared" si="4"/>
        <v>ACADEMIC - SCIENCE, TECHNOLOGY, ENGINEERING AND MATHEMATICS</v>
      </c>
      <c r="G61" s="3">
        <v>2</v>
      </c>
      <c r="H61" s="3">
        <f t="shared" si="1"/>
        <v>12</v>
      </c>
      <c r="L61" s="211">
        <v>55</v>
      </c>
      <c r="N61" s="135"/>
      <c r="O61" s="123" t="str">
        <f t="shared" si="3"/>
        <v/>
      </c>
      <c r="P61" s="135"/>
      <c r="Q61" s="123" t="str">
        <f t="shared" si="3"/>
        <v/>
      </c>
      <c r="R61" s="125">
        <v>55</v>
      </c>
      <c r="S61" s="135"/>
      <c r="T61" s="135"/>
      <c r="U61" s="135"/>
      <c r="V61" s="135"/>
      <c r="AB61" s="125" t="s">
        <v>143</v>
      </c>
      <c r="AC61" s="125" t="s">
        <v>236</v>
      </c>
      <c r="AD61" s="125" t="s">
        <v>238</v>
      </c>
    </row>
    <row r="62" spans="2:30">
      <c r="B62" s="125" t="s">
        <v>137</v>
      </c>
      <c r="C62" s="125" t="s">
        <v>206</v>
      </c>
      <c r="D62" s="125" t="s">
        <v>234</v>
      </c>
      <c r="E62" s="125" t="str">
        <f t="shared" si="4"/>
        <v>ACADEMIC - SCIENCE, TECHNOLOGY, ENGINEERING AND MATHEMATICS</v>
      </c>
      <c r="G62" s="3">
        <v>2</v>
      </c>
      <c r="H62" s="3">
        <f t="shared" si="1"/>
        <v>12</v>
      </c>
      <c r="L62" s="211">
        <v>56</v>
      </c>
      <c r="N62" s="135"/>
      <c r="O62" s="123" t="str">
        <f t="shared" si="3"/>
        <v/>
      </c>
      <c r="P62" s="135"/>
      <c r="Q62" s="123" t="str">
        <f t="shared" si="3"/>
        <v/>
      </c>
      <c r="R62" s="125">
        <v>56</v>
      </c>
      <c r="S62" s="135"/>
      <c r="T62" s="135"/>
      <c r="U62" s="135"/>
      <c r="V62" s="135"/>
      <c r="AB62" s="125" t="s">
        <v>143</v>
      </c>
      <c r="AC62" s="125" t="s">
        <v>236</v>
      </c>
      <c r="AD62" s="125" t="s">
        <v>239</v>
      </c>
    </row>
    <row r="63" spans="2:30">
      <c r="B63" s="125" t="s">
        <v>137</v>
      </c>
      <c r="C63" s="125" t="s">
        <v>206</v>
      </c>
      <c r="D63" s="125" t="s">
        <v>235</v>
      </c>
      <c r="E63" s="125" t="str">
        <f t="shared" si="4"/>
        <v>ACADEMIC - SCIENCE, TECHNOLOGY, ENGINEERING AND MATHEMATICS</v>
      </c>
      <c r="G63" s="3">
        <v>2</v>
      </c>
      <c r="H63" s="3">
        <f t="shared" si="1"/>
        <v>12</v>
      </c>
      <c r="L63" s="211">
        <v>57</v>
      </c>
      <c r="N63" s="135"/>
      <c r="O63" s="123" t="str">
        <f t="shared" si="3"/>
        <v/>
      </c>
      <c r="P63" s="135"/>
      <c r="Q63" s="123" t="str">
        <f t="shared" si="3"/>
        <v/>
      </c>
      <c r="R63" s="125">
        <v>57</v>
      </c>
      <c r="S63" s="135"/>
      <c r="T63" s="135"/>
      <c r="U63" s="135"/>
      <c r="V63" s="135"/>
      <c r="AB63" s="125" t="s">
        <v>143</v>
      </c>
      <c r="AC63" s="125" t="s">
        <v>236</v>
      </c>
      <c r="AD63" s="125" t="s">
        <v>240</v>
      </c>
    </row>
    <row r="64" spans="2:30">
      <c r="B64" s="125" t="s">
        <v>137</v>
      </c>
      <c r="C64" s="125" t="s">
        <v>236</v>
      </c>
      <c r="D64" s="125" t="s">
        <v>237</v>
      </c>
      <c r="E64" s="125" t="str">
        <f t="shared" si="4"/>
        <v>ACADEMIC - SPORTS, HEALTH AND WELLNESS</v>
      </c>
      <c r="F64" s="3">
        <v>2</v>
      </c>
      <c r="G64" s="3">
        <v>2</v>
      </c>
      <c r="H64" s="3" t="str">
        <f t="shared" si="1"/>
        <v>11/12</v>
      </c>
      <c r="L64" s="211">
        <v>58</v>
      </c>
      <c r="N64" s="135"/>
      <c r="O64" s="123" t="str">
        <f t="shared" si="3"/>
        <v/>
      </c>
      <c r="P64" s="135"/>
      <c r="Q64" s="123" t="str">
        <f t="shared" si="3"/>
        <v/>
      </c>
      <c r="R64" s="125">
        <v>58</v>
      </c>
      <c r="S64" s="135"/>
      <c r="T64" s="135"/>
      <c r="U64" s="135"/>
      <c r="V64" s="135"/>
      <c r="AB64" s="125" t="s">
        <v>143</v>
      </c>
      <c r="AC64" s="125" t="s">
        <v>236</v>
      </c>
      <c r="AD64" s="125" t="s">
        <v>241</v>
      </c>
    </row>
    <row r="65" spans="2:30">
      <c r="B65" s="125" t="s">
        <v>137</v>
      </c>
      <c r="C65" s="125" t="s">
        <v>236</v>
      </c>
      <c r="D65" s="125" t="s">
        <v>238</v>
      </c>
      <c r="E65" s="125" t="str">
        <f t="shared" si="4"/>
        <v>ACADEMIC - SPORTS, HEALTH AND WELLNESS</v>
      </c>
      <c r="F65" s="3">
        <v>2</v>
      </c>
      <c r="H65" s="3">
        <f t="shared" si="1"/>
        <v>11</v>
      </c>
      <c r="L65" s="211">
        <v>59</v>
      </c>
      <c r="N65" s="135"/>
      <c r="O65" s="123" t="str">
        <f t="shared" si="3"/>
        <v/>
      </c>
      <c r="P65" s="135"/>
      <c r="Q65" s="123" t="str">
        <f t="shared" si="3"/>
        <v/>
      </c>
      <c r="R65" s="125">
        <v>59</v>
      </c>
      <c r="S65" s="135"/>
      <c r="T65" s="135"/>
      <c r="U65" s="135"/>
      <c r="V65" s="135"/>
      <c r="AB65" s="125" t="s">
        <v>143</v>
      </c>
      <c r="AC65" s="125" t="s">
        <v>236</v>
      </c>
      <c r="AD65" s="125" t="s">
        <v>242</v>
      </c>
    </row>
    <row r="66" spans="2:30">
      <c r="B66" s="125" t="s">
        <v>137</v>
      </c>
      <c r="C66" s="125" t="s">
        <v>236</v>
      </c>
      <c r="D66" s="125" t="s">
        <v>239</v>
      </c>
      <c r="E66" s="125" t="str">
        <f t="shared" si="4"/>
        <v>ACADEMIC - SPORTS, HEALTH AND WELLNESS</v>
      </c>
      <c r="F66" s="3">
        <v>2</v>
      </c>
      <c r="H66" s="3">
        <f t="shared" si="1"/>
        <v>11</v>
      </c>
      <c r="L66" s="211">
        <v>60</v>
      </c>
      <c r="N66" s="135"/>
      <c r="O66" s="123" t="str">
        <f t="shared" si="3"/>
        <v/>
      </c>
      <c r="P66" s="135"/>
      <c r="Q66" s="123" t="str">
        <f t="shared" si="3"/>
        <v/>
      </c>
      <c r="R66" s="125">
        <v>60</v>
      </c>
      <c r="S66" s="135"/>
      <c r="T66" s="135"/>
      <c r="U66" s="135"/>
      <c r="V66" s="135"/>
      <c r="AB66" s="125" t="s">
        <v>143</v>
      </c>
      <c r="AC66" s="125" t="s">
        <v>236</v>
      </c>
      <c r="AD66" s="125" t="s">
        <v>243</v>
      </c>
    </row>
    <row r="67" spans="2:30">
      <c r="B67" s="125" t="s">
        <v>137</v>
      </c>
      <c r="C67" s="125" t="s">
        <v>236</v>
      </c>
      <c r="D67" s="125" t="s">
        <v>240</v>
      </c>
      <c r="E67" s="125" t="str">
        <f t="shared" si="4"/>
        <v>ACADEMIC - SPORTS, HEALTH AND WELLNESS</v>
      </c>
      <c r="F67" s="3">
        <v>2</v>
      </c>
      <c r="G67" s="3">
        <v>2</v>
      </c>
      <c r="H67" s="3" t="str">
        <f t="shared" si="1"/>
        <v>11/12</v>
      </c>
      <c r="L67" s="211">
        <v>61</v>
      </c>
      <c r="N67" s="135"/>
      <c r="O67" s="123" t="str">
        <f t="shared" si="3"/>
        <v/>
      </c>
      <c r="P67" s="135"/>
      <c r="Q67" s="123" t="str">
        <f t="shared" si="3"/>
        <v/>
      </c>
      <c r="R67" s="125">
        <v>61</v>
      </c>
      <c r="S67" s="135"/>
      <c r="T67" s="135"/>
      <c r="U67" s="135"/>
      <c r="V67" s="135"/>
      <c r="AB67" s="125" t="s">
        <v>143</v>
      </c>
      <c r="AC67" s="125" t="s">
        <v>236</v>
      </c>
      <c r="AD67" s="125" t="s">
        <v>244</v>
      </c>
    </row>
    <row r="68" spans="2:30">
      <c r="B68" s="125" t="s">
        <v>137</v>
      </c>
      <c r="C68" s="125" t="s">
        <v>236</v>
      </c>
      <c r="D68" s="125" t="s">
        <v>241</v>
      </c>
      <c r="E68" s="125" t="str">
        <f t="shared" si="4"/>
        <v>ACADEMIC - SPORTS, HEALTH AND WELLNESS</v>
      </c>
      <c r="F68" s="3">
        <v>2</v>
      </c>
      <c r="G68" s="3">
        <v>2</v>
      </c>
      <c r="H68" s="3" t="str">
        <f t="shared" si="1"/>
        <v>11/12</v>
      </c>
      <c r="L68" s="211">
        <v>62</v>
      </c>
      <c r="N68" s="135"/>
      <c r="O68" s="123" t="str">
        <f t="shared" si="3"/>
        <v/>
      </c>
      <c r="P68" s="135"/>
      <c r="Q68" s="123" t="str">
        <f t="shared" si="3"/>
        <v/>
      </c>
      <c r="R68" s="125">
        <v>62</v>
      </c>
      <c r="S68" s="135"/>
      <c r="T68" s="135"/>
      <c r="U68" s="135"/>
      <c r="V68" s="135"/>
      <c r="AB68" s="125" t="s">
        <v>143</v>
      </c>
      <c r="AC68" s="125" t="s">
        <v>236</v>
      </c>
      <c r="AD68" s="125" t="s">
        <v>245</v>
      </c>
    </row>
    <row r="69" spans="2:30">
      <c r="B69" s="125" t="s">
        <v>137</v>
      </c>
      <c r="C69" s="125" t="s">
        <v>236</v>
      </c>
      <c r="D69" s="125" t="s">
        <v>242</v>
      </c>
      <c r="E69" s="125" t="str">
        <f t="shared" si="4"/>
        <v>ACADEMIC - SPORTS, HEALTH AND WELLNESS</v>
      </c>
      <c r="F69" s="3">
        <v>2</v>
      </c>
      <c r="G69" s="3">
        <v>2</v>
      </c>
      <c r="H69" s="3" t="str">
        <f t="shared" si="1"/>
        <v>11/12</v>
      </c>
      <c r="L69" s="211">
        <v>63</v>
      </c>
      <c r="N69" s="135"/>
      <c r="O69" s="123" t="str">
        <f t="shared" si="3"/>
        <v/>
      </c>
      <c r="P69" s="135"/>
      <c r="Q69" s="123" t="str">
        <f t="shared" si="3"/>
        <v/>
      </c>
      <c r="R69" s="125">
        <v>63</v>
      </c>
      <c r="S69" s="135"/>
      <c r="T69" s="135"/>
      <c r="U69" s="135"/>
      <c r="V69" s="135"/>
      <c r="AB69" s="125" t="s">
        <v>151</v>
      </c>
      <c r="AC69" s="125" t="s">
        <v>246</v>
      </c>
      <c r="AD69" s="125" t="s">
        <v>247</v>
      </c>
    </row>
    <row r="70" spans="2:30">
      <c r="B70" s="125" t="s">
        <v>137</v>
      </c>
      <c r="C70" s="125" t="s">
        <v>236</v>
      </c>
      <c r="D70" s="125" t="s">
        <v>243</v>
      </c>
      <c r="E70" s="125" t="str">
        <f t="shared" ref="E70:E101" si="5">B70&amp;" - "&amp;C70</f>
        <v>ACADEMIC - SPORTS, HEALTH AND WELLNESS</v>
      </c>
      <c r="F70" s="3">
        <v>2</v>
      </c>
      <c r="G70" s="3">
        <v>2</v>
      </c>
      <c r="H70" s="3" t="str">
        <f t="shared" si="1"/>
        <v>11/12</v>
      </c>
      <c r="L70" s="211">
        <v>64</v>
      </c>
      <c r="N70" s="135"/>
      <c r="O70" s="123" t="str">
        <f t="shared" si="3"/>
        <v/>
      </c>
      <c r="P70" s="135"/>
      <c r="Q70" s="123" t="str">
        <f t="shared" si="3"/>
        <v/>
      </c>
      <c r="R70" s="125">
        <v>64</v>
      </c>
      <c r="S70" s="135"/>
      <c r="T70" s="135"/>
      <c r="U70" s="135"/>
      <c r="V70" s="135"/>
      <c r="AB70" s="125" t="s">
        <v>151</v>
      </c>
      <c r="AC70" s="125" t="s">
        <v>246</v>
      </c>
      <c r="AD70" s="125" t="s">
        <v>248</v>
      </c>
    </row>
    <row r="71" spans="2:30">
      <c r="B71" s="125" t="s">
        <v>137</v>
      </c>
      <c r="C71" s="125" t="s">
        <v>236</v>
      </c>
      <c r="D71" s="125" t="s">
        <v>244</v>
      </c>
      <c r="E71" s="125" t="str">
        <f t="shared" si="5"/>
        <v>ACADEMIC - SPORTS, HEALTH AND WELLNESS</v>
      </c>
      <c r="F71" s="3">
        <v>2</v>
      </c>
      <c r="G71" s="3">
        <v>2</v>
      </c>
      <c r="H71" s="3" t="str">
        <f t="shared" ref="H71:H134" si="6">IF(AND(F71&lt;&gt;"",G71&lt;&gt;""),"11/12",IF(F71&lt;&gt;"",11,12))</f>
        <v>11/12</v>
      </c>
      <c r="L71" s="211">
        <v>65</v>
      </c>
      <c r="N71" s="135"/>
      <c r="O71" s="123" t="str">
        <f t="shared" si="3"/>
        <v/>
      </c>
      <c r="P71" s="135"/>
      <c r="Q71" s="123" t="str">
        <f t="shared" si="3"/>
        <v/>
      </c>
      <c r="R71" s="125">
        <v>65</v>
      </c>
      <c r="S71" s="135"/>
      <c r="T71" s="135"/>
      <c r="U71" s="135"/>
      <c r="V71" s="135"/>
      <c r="AB71" s="125" t="s">
        <v>151</v>
      </c>
      <c r="AC71" s="125" t="s">
        <v>246</v>
      </c>
      <c r="AD71" s="125" t="s">
        <v>249</v>
      </c>
    </row>
    <row r="72" spans="2:30">
      <c r="B72" s="125" t="s">
        <v>137</v>
      </c>
      <c r="C72" s="125" t="s">
        <v>236</v>
      </c>
      <c r="D72" s="125" t="s">
        <v>245</v>
      </c>
      <c r="E72" s="125" t="str">
        <f t="shared" si="5"/>
        <v>ACADEMIC - SPORTS, HEALTH AND WELLNESS</v>
      </c>
      <c r="F72" s="3">
        <v>2</v>
      </c>
      <c r="G72" s="3">
        <v>2</v>
      </c>
      <c r="H72" s="3" t="str">
        <f t="shared" si="6"/>
        <v>11/12</v>
      </c>
      <c r="L72" s="211">
        <v>66</v>
      </c>
      <c r="N72" s="135"/>
      <c r="O72" s="123" t="str">
        <f t="shared" si="3"/>
        <v/>
      </c>
      <c r="P72" s="135"/>
      <c r="Q72" s="123" t="str">
        <f t="shared" si="3"/>
        <v/>
      </c>
      <c r="R72" s="125">
        <v>66</v>
      </c>
      <c r="S72" s="135"/>
      <c r="T72" s="135"/>
      <c r="U72" s="135"/>
      <c r="V72" s="135"/>
      <c r="AB72" s="125" t="s">
        <v>151</v>
      </c>
      <c r="AC72" s="125" t="s">
        <v>246</v>
      </c>
      <c r="AD72" s="125" t="s">
        <v>250</v>
      </c>
    </row>
    <row r="73" spans="2:30">
      <c r="B73" s="125" t="s">
        <v>137</v>
      </c>
      <c r="C73" s="125" t="s">
        <v>251</v>
      </c>
      <c r="D73" s="125" t="s">
        <v>252</v>
      </c>
      <c r="E73" s="125" t="str">
        <f>B73&amp;" - "&amp;C73</f>
        <v>ACADEMIC - FIELD EXPOSURE</v>
      </c>
      <c r="F73" s="3">
        <v>2</v>
      </c>
      <c r="G73" s="3">
        <v>2</v>
      </c>
      <c r="H73" s="3" t="str">
        <f t="shared" si="6"/>
        <v>11/12</v>
      </c>
      <c r="L73" s="211">
        <v>67</v>
      </c>
      <c r="N73" s="135"/>
      <c r="O73" s="123" t="str">
        <f t="shared" si="3"/>
        <v/>
      </c>
      <c r="P73" s="135"/>
      <c r="Q73" s="123" t="str">
        <f t="shared" si="3"/>
        <v/>
      </c>
      <c r="R73" s="125">
        <v>67</v>
      </c>
      <c r="S73" s="135"/>
      <c r="T73" s="135"/>
      <c r="U73" s="135"/>
      <c r="V73" s="135"/>
      <c r="AB73" s="125" t="s">
        <v>151</v>
      </c>
      <c r="AC73" s="125" t="s">
        <v>246</v>
      </c>
      <c r="AD73" s="125" t="s">
        <v>253</v>
      </c>
    </row>
    <row r="74" spans="2:30">
      <c r="B74" s="125" t="s">
        <v>137</v>
      </c>
      <c r="C74" s="125" t="s">
        <v>251</v>
      </c>
      <c r="D74" s="125" t="s">
        <v>254</v>
      </c>
      <c r="E74" s="125" t="str">
        <f t="shared" si="5"/>
        <v>ACADEMIC - FIELD EXPOSURE</v>
      </c>
      <c r="F74" s="3">
        <v>2</v>
      </c>
      <c r="G74" s="3">
        <v>2</v>
      </c>
      <c r="H74" s="3" t="str">
        <f t="shared" si="6"/>
        <v>11/12</v>
      </c>
      <c r="L74" s="211">
        <v>68</v>
      </c>
      <c r="N74" s="135"/>
      <c r="O74" s="123" t="str">
        <f t="shared" si="3"/>
        <v/>
      </c>
      <c r="P74" s="135"/>
      <c r="Q74" s="123" t="str">
        <f t="shared" si="3"/>
        <v/>
      </c>
      <c r="R74" s="125">
        <v>68</v>
      </c>
      <c r="S74" s="135"/>
      <c r="T74" s="135"/>
      <c r="U74" s="135"/>
      <c r="V74" s="135"/>
      <c r="AB74" s="125" t="s">
        <v>156</v>
      </c>
      <c r="AC74" s="125" t="s">
        <v>255</v>
      </c>
      <c r="AD74" s="125" t="s">
        <v>256</v>
      </c>
    </row>
    <row r="75" spans="2:30">
      <c r="B75" s="125" t="s">
        <v>137</v>
      </c>
      <c r="C75" s="125" t="s">
        <v>251</v>
      </c>
      <c r="D75" s="125" t="s">
        <v>257</v>
      </c>
      <c r="E75" s="125" t="str">
        <f t="shared" si="5"/>
        <v>ACADEMIC - FIELD EXPOSURE</v>
      </c>
      <c r="F75" s="3">
        <v>2</v>
      </c>
      <c r="G75" s="3">
        <v>2</v>
      </c>
      <c r="H75" s="3" t="str">
        <f t="shared" si="6"/>
        <v>11/12</v>
      </c>
      <c r="L75" s="211">
        <v>69</v>
      </c>
      <c r="N75" s="135"/>
      <c r="O75" s="123" t="str">
        <f t="shared" si="3"/>
        <v/>
      </c>
      <c r="P75" s="135"/>
      <c r="Q75" s="123" t="str">
        <f t="shared" si="3"/>
        <v/>
      </c>
      <c r="R75" s="125">
        <v>69</v>
      </c>
      <c r="S75" s="135"/>
      <c r="T75" s="135"/>
      <c r="U75" s="135"/>
      <c r="V75" s="135"/>
      <c r="AB75" s="125" t="s">
        <v>156</v>
      </c>
      <c r="AC75" s="125" t="s">
        <v>255</v>
      </c>
      <c r="AD75" s="125" t="s">
        <v>258</v>
      </c>
    </row>
    <row r="76" spans="2:30">
      <c r="B76" s="125" t="s">
        <v>137</v>
      </c>
      <c r="C76" s="125" t="s">
        <v>251</v>
      </c>
      <c r="D76" s="125" t="s">
        <v>259</v>
      </c>
      <c r="E76" s="125" t="str">
        <f t="shared" si="5"/>
        <v>ACADEMIC - FIELD EXPOSURE</v>
      </c>
      <c r="F76" s="3">
        <v>2</v>
      </c>
      <c r="G76" s="3">
        <v>2</v>
      </c>
      <c r="H76" s="3" t="str">
        <f t="shared" si="6"/>
        <v>11/12</v>
      </c>
      <c r="L76" s="211">
        <v>70</v>
      </c>
      <c r="N76" s="137"/>
      <c r="O76" s="123" t="str">
        <f t="shared" ref="O76:Q138" si="7">_xlfn.IFNA(IF(N76&lt;&gt;"",_xlfn.XLOOKUP(N76,$D$6:$D$138,$H$6:$H$138),""),"11/12")</f>
        <v/>
      </c>
      <c r="P76" s="137"/>
      <c r="Q76" s="123" t="str">
        <f t="shared" si="7"/>
        <v/>
      </c>
      <c r="R76" s="125">
        <v>70</v>
      </c>
      <c r="S76" s="137"/>
      <c r="T76" s="137"/>
      <c r="U76" s="137"/>
      <c r="V76" s="137"/>
      <c r="AB76" s="125" t="s">
        <v>156</v>
      </c>
      <c r="AC76" s="125" t="s">
        <v>255</v>
      </c>
      <c r="AD76" s="125" t="s">
        <v>260</v>
      </c>
    </row>
    <row r="77" spans="2:30">
      <c r="B77" s="125" t="s">
        <v>137</v>
      </c>
      <c r="C77" s="125" t="s">
        <v>251</v>
      </c>
      <c r="D77" s="125" t="s">
        <v>261</v>
      </c>
      <c r="E77" s="125" t="str">
        <f t="shared" si="5"/>
        <v>ACADEMIC - FIELD EXPOSURE</v>
      </c>
      <c r="F77" s="3">
        <v>2</v>
      </c>
      <c r="G77" s="3">
        <v>2</v>
      </c>
      <c r="H77" s="3" t="str">
        <f t="shared" si="6"/>
        <v>11/12</v>
      </c>
      <c r="O77" s="123" t="str">
        <f t="shared" si="7"/>
        <v/>
      </c>
      <c r="Q77" s="123" t="str">
        <f t="shared" si="7"/>
        <v/>
      </c>
      <c r="S77" s="134" t="s">
        <v>262</v>
      </c>
      <c r="T77" s="134" t="s">
        <v>262</v>
      </c>
      <c r="U77" s="134" t="s">
        <v>262</v>
      </c>
      <c r="V77" s="134" t="s">
        <v>262</v>
      </c>
      <c r="AB77" s="125" t="s">
        <v>156</v>
      </c>
      <c r="AC77" s="125" t="s">
        <v>255</v>
      </c>
      <c r="AD77" s="125" t="s">
        <v>263</v>
      </c>
    </row>
    <row r="78" spans="2:30">
      <c r="B78" s="125" t="s">
        <v>137</v>
      </c>
      <c r="C78" s="125" t="s">
        <v>251</v>
      </c>
      <c r="D78" s="125" t="s">
        <v>264</v>
      </c>
      <c r="E78" s="125" t="str">
        <f t="shared" si="5"/>
        <v>ACADEMIC - FIELD EXPOSURE</v>
      </c>
      <c r="F78" s="3">
        <v>2</v>
      </c>
      <c r="G78" s="3">
        <v>2</v>
      </c>
      <c r="H78" s="3" t="str">
        <f t="shared" si="6"/>
        <v>11/12</v>
      </c>
      <c r="O78" s="123" t="str">
        <f t="shared" si="7"/>
        <v/>
      </c>
      <c r="Q78" s="123" t="str">
        <f t="shared" si="7"/>
        <v/>
      </c>
      <c r="AB78" s="125" t="s">
        <v>156</v>
      </c>
      <c r="AC78" s="125" t="s">
        <v>255</v>
      </c>
      <c r="AD78" s="125" t="s">
        <v>265</v>
      </c>
    </row>
    <row r="79" spans="2:30">
      <c r="B79" s="125" t="s">
        <v>138</v>
      </c>
      <c r="C79" s="125" t="s">
        <v>255</v>
      </c>
      <c r="D79" s="125" t="s">
        <v>256</v>
      </c>
      <c r="E79" s="125" t="str">
        <f t="shared" si="5"/>
        <v>TECHPRO - AESTHETIC, WELLNESS AND HUMAN CARE CLUSTER</v>
      </c>
      <c r="F79" s="3">
        <v>4</v>
      </c>
      <c r="G79" s="3">
        <v>2</v>
      </c>
      <c r="H79" s="3" t="str">
        <f t="shared" si="6"/>
        <v>11/12</v>
      </c>
      <c r="O79" s="123" t="str">
        <f t="shared" si="7"/>
        <v/>
      </c>
      <c r="Q79" s="123" t="str">
        <f t="shared" si="7"/>
        <v/>
      </c>
      <c r="AB79" s="125" t="s">
        <v>156</v>
      </c>
      <c r="AC79" s="125" t="s">
        <v>255</v>
      </c>
      <c r="AD79" s="125" t="s">
        <v>266</v>
      </c>
    </row>
    <row r="80" spans="2:30">
      <c r="B80" s="125" t="s">
        <v>138</v>
      </c>
      <c r="C80" s="125" t="s">
        <v>255</v>
      </c>
      <c r="D80" s="125" t="s">
        <v>258</v>
      </c>
      <c r="E80" s="125" t="str">
        <f t="shared" si="5"/>
        <v>TECHPRO - AESTHETIC, WELLNESS AND HUMAN CARE CLUSTER</v>
      </c>
      <c r="F80" s="3">
        <v>4</v>
      </c>
      <c r="G80" s="3">
        <v>2</v>
      </c>
      <c r="H80" s="3" t="str">
        <f t="shared" si="6"/>
        <v>11/12</v>
      </c>
      <c r="O80" s="123" t="str">
        <f t="shared" si="7"/>
        <v/>
      </c>
      <c r="Q80" s="123" t="str">
        <f t="shared" si="7"/>
        <v/>
      </c>
      <c r="AB80" s="125" t="s">
        <v>156</v>
      </c>
      <c r="AC80" s="125" t="s">
        <v>267</v>
      </c>
      <c r="AD80" s="125" t="s">
        <v>268</v>
      </c>
    </row>
    <row r="81" spans="2:30">
      <c r="B81" s="125" t="s">
        <v>138</v>
      </c>
      <c r="C81" s="125" t="s">
        <v>255</v>
      </c>
      <c r="D81" s="125" t="s">
        <v>260</v>
      </c>
      <c r="E81" s="125" t="str">
        <f t="shared" si="5"/>
        <v>TECHPRO - AESTHETIC, WELLNESS AND HUMAN CARE CLUSTER</v>
      </c>
      <c r="F81" s="3">
        <v>4</v>
      </c>
      <c r="G81" s="3">
        <v>2</v>
      </c>
      <c r="H81" s="3" t="str">
        <f t="shared" si="6"/>
        <v>11/12</v>
      </c>
      <c r="O81" s="123" t="str">
        <f t="shared" si="7"/>
        <v/>
      </c>
      <c r="Q81" s="123" t="str">
        <f t="shared" si="7"/>
        <v/>
      </c>
      <c r="AB81" s="125" t="s">
        <v>156</v>
      </c>
      <c r="AC81" s="125" t="s">
        <v>267</v>
      </c>
      <c r="AD81" s="125" t="s">
        <v>269</v>
      </c>
    </row>
    <row r="82" spans="2:30">
      <c r="B82" s="125" t="s">
        <v>138</v>
      </c>
      <c r="C82" s="125" t="s">
        <v>255</v>
      </c>
      <c r="D82" s="125" t="s">
        <v>263</v>
      </c>
      <c r="E82" s="125" t="str">
        <f t="shared" si="5"/>
        <v>TECHPRO - AESTHETIC, WELLNESS AND HUMAN CARE CLUSTER</v>
      </c>
      <c r="F82" s="3">
        <v>4</v>
      </c>
      <c r="G82" s="3">
        <v>2</v>
      </c>
      <c r="H82" s="3" t="str">
        <f t="shared" si="6"/>
        <v>11/12</v>
      </c>
      <c r="O82" s="123" t="str">
        <f t="shared" si="7"/>
        <v/>
      </c>
      <c r="Q82" s="123" t="str">
        <f t="shared" si="7"/>
        <v/>
      </c>
      <c r="AB82" s="125" t="s">
        <v>156</v>
      </c>
      <c r="AC82" s="125" t="s">
        <v>267</v>
      </c>
      <c r="AD82" s="125" t="s">
        <v>270</v>
      </c>
    </row>
    <row r="83" spans="2:30">
      <c r="B83" s="125" t="s">
        <v>138</v>
      </c>
      <c r="C83" s="125" t="s">
        <v>255</v>
      </c>
      <c r="D83" s="125" t="s">
        <v>265</v>
      </c>
      <c r="E83" s="125" t="str">
        <f t="shared" si="5"/>
        <v>TECHPRO - AESTHETIC, WELLNESS AND HUMAN CARE CLUSTER</v>
      </c>
      <c r="F83" s="3">
        <v>4</v>
      </c>
      <c r="G83" s="3">
        <v>2</v>
      </c>
      <c r="H83" s="3" t="str">
        <f t="shared" si="6"/>
        <v>11/12</v>
      </c>
      <c r="O83" s="123" t="str">
        <f t="shared" si="7"/>
        <v/>
      </c>
      <c r="Q83" s="123" t="str">
        <f t="shared" si="7"/>
        <v/>
      </c>
      <c r="AB83" s="125" t="s">
        <v>156</v>
      </c>
      <c r="AC83" s="125" t="s">
        <v>267</v>
      </c>
      <c r="AD83" s="125" t="s">
        <v>271</v>
      </c>
    </row>
    <row r="84" spans="2:30">
      <c r="B84" s="125" t="s">
        <v>138</v>
      </c>
      <c r="C84" s="125" t="s">
        <v>255</v>
      </c>
      <c r="D84" s="125" t="s">
        <v>266</v>
      </c>
      <c r="E84" s="125" t="str">
        <f t="shared" si="5"/>
        <v>TECHPRO - AESTHETIC, WELLNESS AND HUMAN CARE CLUSTER</v>
      </c>
      <c r="F84" s="3">
        <v>4</v>
      </c>
      <c r="G84" s="3">
        <v>2</v>
      </c>
      <c r="H84" s="3" t="str">
        <f t="shared" si="6"/>
        <v>11/12</v>
      </c>
      <c r="O84" s="123" t="str">
        <f t="shared" si="7"/>
        <v/>
      </c>
      <c r="Q84" s="123" t="str">
        <f t="shared" si="7"/>
        <v/>
      </c>
      <c r="AB84" s="125" t="s">
        <v>156</v>
      </c>
      <c r="AC84" s="125" t="s">
        <v>267</v>
      </c>
      <c r="AD84" s="125" t="s">
        <v>272</v>
      </c>
    </row>
    <row r="85" spans="2:30">
      <c r="B85" s="125" t="s">
        <v>138</v>
      </c>
      <c r="C85" s="125" t="s">
        <v>267</v>
      </c>
      <c r="D85" s="125" t="s">
        <v>268</v>
      </c>
      <c r="E85" s="125" t="str">
        <f t="shared" si="5"/>
        <v>TECHPRO - AGRI-FISHERY BUSINESS AND FOOD INNOVATION</v>
      </c>
      <c r="F85" s="3">
        <v>4</v>
      </c>
      <c r="G85" s="3">
        <v>2</v>
      </c>
      <c r="H85" s="3" t="str">
        <f t="shared" si="6"/>
        <v>11/12</v>
      </c>
      <c r="O85" s="123" t="str">
        <f t="shared" si="7"/>
        <v/>
      </c>
      <c r="Q85" s="123" t="str">
        <f t="shared" si="7"/>
        <v/>
      </c>
      <c r="AB85" s="125" t="s">
        <v>156</v>
      </c>
      <c r="AC85" s="125" t="s">
        <v>267</v>
      </c>
      <c r="AD85" s="125" t="s">
        <v>273</v>
      </c>
    </row>
    <row r="86" spans="2:30">
      <c r="B86" s="125" t="s">
        <v>138</v>
      </c>
      <c r="C86" s="125" t="s">
        <v>267</v>
      </c>
      <c r="D86" s="125" t="s">
        <v>269</v>
      </c>
      <c r="E86" s="125" t="str">
        <f t="shared" si="5"/>
        <v>TECHPRO - AGRI-FISHERY BUSINESS AND FOOD INNOVATION</v>
      </c>
      <c r="F86" s="3">
        <v>4</v>
      </c>
      <c r="G86" s="3">
        <v>2</v>
      </c>
      <c r="H86" s="3" t="str">
        <f t="shared" si="6"/>
        <v>11/12</v>
      </c>
      <c r="O86" s="123" t="str">
        <f t="shared" si="7"/>
        <v/>
      </c>
      <c r="Q86" s="123" t="str">
        <f t="shared" si="7"/>
        <v/>
      </c>
      <c r="AB86" s="125" t="s">
        <v>156</v>
      </c>
      <c r="AC86" s="125" t="s">
        <v>267</v>
      </c>
      <c r="AD86" s="125" t="s">
        <v>274</v>
      </c>
    </row>
    <row r="87" spans="2:30">
      <c r="B87" s="125" t="s">
        <v>138</v>
      </c>
      <c r="C87" s="125" t="s">
        <v>267</v>
      </c>
      <c r="D87" s="125" t="s">
        <v>270</v>
      </c>
      <c r="E87" s="125" t="str">
        <f t="shared" si="5"/>
        <v>TECHPRO - AGRI-FISHERY BUSINESS AND FOOD INNOVATION</v>
      </c>
      <c r="F87" s="3">
        <v>4</v>
      </c>
      <c r="G87" s="3">
        <v>2</v>
      </c>
      <c r="H87" s="3" t="str">
        <f t="shared" si="6"/>
        <v>11/12</v>
      </c>
      <c r="O87" s="123" t="str">
        <f t="shared" si="7"/>
        <v/>
      </c>
      <c r="Q87" s="123" t="str">
        <f t="shared" si="7"/>
        <v/>
      </c>
      <c r="AB87" s="125" t="s">
        <v>156</v>
      </c>
      <c r="AC87" s="125" t="s">
        <v>267</v>
      </c>
      <c r="AD87" s="125" t="s">
        <v>275</v>
      </c>
    </row>
    <row r="88" spans="2:30">
      <c r="B88" s="125" t="s">
        <v>138</v>
      </c>
      <c r="C88" s="125" t="s">
        <v>267</v>
      </c>
      <c r="D88" s="125" t="s">
        <v>271</v>
      </c>
      <c r="E88" s="125" t="str">
        <f t="shared" si="5"/>
        <v>TECHPRO - AGRI-FISHERY BUSINESS AND FOOD INNOVATION</v>
      </c>
      <c r="F88" s="3">
        <v>4</v>
      </c>
      <c r="G88" s="3">
        <v>2</v>
      </c>
      <c r="H88" s="3" t="str">
        <f t="shared" si="6"/>
        <v>11/12</v>
      </c>
      <c r="O88" s="123" t="str">
        <f t="shared" si="7"/>
        <v/>
      </c>
      <c r="Q88" s="123" t="str">
        <f t="shared" si="7"/>
        <v/>
      </c>
      <c r="AB88" s="125" t="s">
        <v>156</v>
      </c>
      <c r="AC88" s="125" t="s">
        <v>267</v>
      </c>
      <c r="AD88" s="125" t="s">
        <v>276</v>
      </c>
    </row>
    <row r="89" spans="2:30">
      <c r="B89" s="125" t="s">
        <v>138</v>
      </c>
      <c r="C89" s="125" t="s">
        <v>267</v>
      </c>
      <c r="D89" s="125" t="s">
        <v>272</v>
      </c>
      <c r="E89" s="125" t="str">
        <f t="shared" si="5"/>
        <v>TECHPRO - AGRI-FISHERY BUSINESS AND FOOD INNOVATION</v>
      </c>
      <c r="F89" s="3">
        <v>4</v>
      </c>
      <c r="G89" s="3">
        <v>2</v>
      </c>
      <c r="H89" s="3" t="str">
        <f t="shared" si="6"/>
        <v>11/12</v>
      </c>
      <c r="O89" s="123" t="str">
        <f t="shared" si="7"/>
        <v/>
      </c>
      <c r="Q89" s="123" t="str">
        <f t="shared" si="7"/>
        <v/>
      </c>
      <c r="AB89" s="125" t="s">
        <v>156</v>
      </c>
      <c r="AC89" s="125" t="s">
        <v>277</v>
      </c>
      <c r="AD89" s="125" t="s">
        <v>278</v>
      </c>
    </row>
    <row r="90" spans="2:30">
      <c r="B90" s="125" t="s">
        <v>138</v>
      </c>
      <c r="C90" s="125" t="s">
        <v>267</v>
      </c>
      <c r="D90" s="125" t="s">
        <v>273</v>
      </c>
      <c r="E90" s="125" t="str">
        <f t="shared" si="5"/>
        <v>TECHPRO - AGRI-FISHERY BUSINESS AND FOOD INNOVATION</v>
      </c>
      <c r="F90" s="3">
        <v>4</v>
      </c>
      <c r="G90" s="3">
        <v>2</v>
      </c>
      <c r="H90" s="3" t="str">
        <f t="shared" si="6"/>
        <v>11/12</v>
      </c>
      <c r="O90" s="123" t="str">
        <f t="shared" si="7"/>
        <v/>
      </c>
      <c r="Q90" s="123" t="str">
        <f t="shared" si="7"/>
        <v/>
      </c>
      <c r="AB90" s="125" t="s">
        <v>156</v>
      </c>
      <c r="AC90" s="125" t="s">
        <v>277</v>
      </c>
      <c r="AD90" s="125" t="s">
        <v>279</v>
      </c>
    </row>
    <row r="91" spans="2:30">
      <c r="B91" s="125" t="s">
        <v>138</v>
      </c>
      <c r="C91" s="125" t="s">
        <v>267</v>
      </c>
      <c r="D91" s="125" t="s">
        <v>274</v>
      </c>
      <c r="E91" s="125" t="str">
        <f t="shared" si="5"/>
        <v>TECHPRO - AGRI-FISHERY BUSINESS AND FOOD INNOVATION</v>
      </c>
      <c r="F91" s="3">
        <v>4</v>
      </c>
      <c r="G91" s="3">
        <v>2</v>
      </c>
      <c r="H91" s="3" t="str">
        <f t="shared" si="6"/>
        <v>11/12</v>
      </c>
      <c r="O91" s="123" t="str">
        <f t="shared" si="7"/>
        <v/>
      </c>
      <c r="Q91" s="123" t="str">
        <f t="shared" si="7"/>
        <v/>
      </c>
      <c r="AB91" s="125" t="s">
        <v>156</v>
      </c>
      <c r="AC91" s="125" t="s">
        <v>280</v>
      </c>
      <c r="AD91" s="125" t="s">
        <v>281</v>
      </c>
    </row>
    <row r="92" spans="2:30">
      <c r="B92" s="125" t="s">
        <v>138</v>
      </c>
      <c r="C92" s="125" t="s">
        <v>267</v>
      </c>
      <c r="D92" s="125" t="s">
        <v>275</v>
      </c>
      <c r="E92" s="125" t="str">
        <f t="shared" si="5"/>
        <v>TECHPRO - AGRI-FISHERY BUSINESS AND FOOD INNOVATION</v>
      </c>
      <c r="F92" s="3">
        <v>4</v>
      </c>
      <c r="G92" s="3">
        <v>2</v>
      </c>
      <c r="H92" s="3" t="str">
        <f t="shared" si="6"/>
        <v>11/12</v>
      </c>
      <c r="O92" s="123" t="str">
        <f t="shared" si="7"/>
        <v/>
      </c>
      <c r="Q92" s="123" t="str">
        <f t="shared" si="7"/>
        <v/>
      </c>
      <c r="AB92" s="125" t="s">
        <v>156</v>
      </c>
      <c r="AC92" s="125" t="s">
        <v>280</v>
      </c>
      <c r="AD92" s="125" t="s">
        <v>282</v>
      </c>
    </row>
    <row r="93" spans="2:30">
      <c r="B93" s="125" t="s">
        <v>138</v>
      </c>
      <c r="C93" s="125" t="s">
        <v>267</v>
      </c>
      <c r="D93" s="125" t="s">
        <v>276</v>
      </c>
      <c r="E93" s="125" t="str">
        <f t="shared" si="5"/>
        <v>TECHPRO - AGRI-FISHERY BUSINESS AND FOOD INNOVATION</v>
      </c>
      <c r="F93" s="3">
        <v>4</v>
      </c>
      <c r="G93" s="3">
        <v>2</v>
      </c>
      <c r="H93" s="3" t="str">
        <f t="shared" si="6"/>
        <v>11/12</v>
      </c>
      <c r="O93" s="123" t="str">
        <f t="shared" si="7"/>
        <v/>
      </c>
      <c r="Q93" s="123" t="str">
        <f t="shared" si="7"/>
        <v/>
      </c>
      <c r="AB93" s="125" t="s">
        <v>156</v>
      </c>
      <c r="AC93" s="125" t="s">
        <v>280</v>
      </c>
      <c r="AD93" s="125" t="s">
        <v>283</v>
      </c>
    </row>
    <row r="94" spans="2:30">
      <c r="B94" s="125" t="s">
        <v>138</v>
      </c>
      <c r="C94" s="125" t="s">
        <v>277</v>
      </c>
      <c r="D94" s="125" t="s">
        <v>278</v>
      </c>
      <c r="E94" s="125" t="str">
        <f t="shared" si="5"/>
        <v>TECHPRO - ARTISANRY AND CREATIVE ENTERPRISE</v>
      </c>
      <c r="F94" s="3">
        <v>4</v>
      </c>
      <c r="G94" s="3">
        <v>2</v>
      </c>
      <c r="H94" s="3" t="str">
        <f t="shared" si="6"/>
        <v>11/12</v>
      </c>
      <c r="O94" s="123" t="str">
        <f t="shared" si="7"/>
        <v/>
      </c>
      <c r="Q94" s="123" t="str">
        <f t="shared" si="7"/>
        <v/>
      </c>
      <c r="AB94" s="125" t="s">
        <v>156</v>
      </c>
      <c r="AC94" s="125" t="s">
        <v>280</v>
      </c>
      <c r="AD94" s="125" t="s">
        <v>284</v>
      </c>
    </row>
    <row r="95" spans="2:30">
      <c r="B95" s="125" t="s">
        <v>138</v>
      </c>
      <c r="C95" s="125" t="s">
        <v>277</v>
      </c>
      <c r="D95" s="125" t="s">
        <v>279</v>
      </c>
      <c r="E95" s="125" t="str">
        <f t="shared" si="5"/>
        <v>TECHPRO - ARTISANRY AND CREATIVE ENTERPRISE</v>
      </c>
      <c r="F95" s="3">
        <v>4</v>
      </c>
      <c r="G95" s="3">
        <v>2</v>
      </c>
      <c r="H95" s="3" t="str">
        <f t="shared" si="6"/>
        <v>11/12</v>
      </c>
      <c r="O95" s="123" t="str">
        <f t="shared" si="7"/>
        <v/>
      </c>
      <c r="Q95" s="123" t="str">
        <f t="shared" si="7"/>
        <v/>
      </c>
      <c r="AB95" s="125" t="s">
        <v>156</v>
      </c>
      <c r="AC95" s="125" t="s">
        <v>285</v>
      </c>
      <c r="AD95" s="125" t="s">
        <v>286</v>
      </c>
    </row>
    <row r="96" spans="2:30">
      <c r="B96" s="125" t="s">
        <v>138</v>
      </c>
      <c r="C96" s="125" t="s">
        <v>280</v>
      </c>
      <c r="D96" s="125" t="s">
        <v>281</v>
      </c>
      <c r="E96" s="125" t="str">
        <f t="shared" si="5"/>
        <v>TECHPRO - AUTOMOTIVE AND SMALL ENGINE TECHNOLOGIES</v>
      </c>
      <c r="F96" s="3">
        <v>4</v>
      </c>
      <c r="G96" s="3">
        <v>2</v>
      </c>
      <c r="H96" s="3" t="str">
        <f t="shared" si="6"/>
        <v>11/12</v>
      </c>
      <c r="O96" s="123" t="str">
        <f t="shared" si="7"/>
        <v/>
      </c>
      <c r="Q96" s="123" t="str">
        <f t="shared" si="7"/>
        <v/>
      </c>
      <c r="AB96" s="125" t="s">
        <v>156</v>
      </c>
      <c r="AC96" s="125" t="s">
        <v>285</v>
      </c>
      <c r="AD96" s="125" t="s">
        <v>287</v>
      </c>
    </row>
    <row r="97" spans="2:30">
      <c r="B97" s="125" t="s">
        <v>138</v>
      </c>
      <c r="C97" s="125" t="s">
        <v>280</v>
      </c>
      <c r="D97" s="125" t="s">
        <v>282</v>
      </c>
      <c r="E97" s="125" t="str">
        <f t="shared" si="5"/>
        <v>TECHPRO - AUTOMOTIVE AND SMALL ENGINE TECHNOLOGIES</v>
      </c>
      <c r="F97" s="3">
        <v>4</v>
      </c>
      <c r="G97" s="3">
        <v>2</v>
      </c>
      <c r="H97" s="3" t="str">
        <f t="shared" si="6"/>
        <v>11/12</v>
      </c>
      <c r="O97" s="123" t="str">
        <f t="shared" si="7"/>
        <v/>
      </c>
      <c r="Q97" s="123" t="str">
        <f t="shared" si="7"/>
        <v/>
      </c>
      <c r="AB97" s="125" t="s">
        <v>156</v>
      </c>
      <c r="AC97" s="125" t="s">
        <v>285</v>
      </c>
      <c r="AD97" s="125" t="s">
        <v>288</v>
      </c>
    </row>
    <row r="98" spans="2:30">
      <c r="B98" s="125" t="s">
        <v>138</v>
      </c>
      <c r="C98" s="125" t="s">
        <v>280</v>
      </c>
      <c r="D98" s="125" t="s">
        <v>283</v>
      </c>
      <c r="E98" s="125" t="str">
        <f t="shared" si="5"/>
        <v>TECHPRO - AUTOMOTIVE AND SMALL ENGINE TECHNOLOGIES</v>
      </c>
      <c r="F98" s="3">
        <v>4</v>
      </c>
      <c r="G98" s="3">
        <v>2</v>
      </c>
      <c r="H98" s="3" t="str">
        <f t="shared" si="6"/>
        <v>11/12</v>
      </c>
      <c r="O98" s="123" t="str">
        <f t="shared" si="7"/>
        <v/>
      </c>
      <c r="Q98" s="123" t="str">
        <f t="shared" si="7"/>
        <v/>
      </c>
      <c r="AB98" s="125" t="s">
        <v>156</v>
      </c>
      <c r="AC98" s="125" t="s">
        <v>285</v>
      </c>
      <c r="AD98" s="125" t="s">
        <v>289</v>
      </c>
    </row>
    <row r="99" spans="2:30">
      <c r="B99" s="125" t="s">
        <v>138</v>
      </c>
      <c r="C99" s="125" t="s">
        <v>280</v>
      </c>
      <c r="D99" s="125" t="s">
        <v>284</v>
      </c>
      <c r="E99" s="125" t="str">
        <f t="shared" si="5"/>
        <v>TECHPRO - AUTOMOTIVE AND SMALL ENGINE TECHNOLOGIES</v>
      </c>
      <c r="F99" s="3">
        <v>4</v>
      </c>
      <c r="G99" s="3">
        <v>2</v>
      </c>
      <c r="H99" s="3" t="str">
        <f t="shared" si="6"/>
        <v>11/12</v>
      </c>
      <c r="O99" s="123" t="str">
        <f t="shared" si="7"/>
        <v/>
      </c>
      <c r="Q99" s="123" t="str">
        <f t="shared" si="7"/>
        <v/>
      </c>
      <c r="AB99" s="125" t="s">
        <v>156</v>
      </c>
      <c r="AC99" s="125" t="s">
        <v>290</v>
      </c>
      <c r="AD99" s="125" t="s">
        <v>291</v>
      </c>
    </row>
    <row r="100" spans="2:30">
      <c r="B100" s="125" t="s">
        <v>138</v>
      </c>
      <c r="C100" s="125" t="s">
        <v>285</v>
      </c>
      <c r="D100" s="125" t="s">
        <v>286</v>
      </c>
      <c r="E100" s="125" t="str">
        <f t="shared" si="5"/>
        <v>TECHPRO - CONSTRUCTION AND BUILDING TECHNOLOGIES</v>
      </c>
      <c r="F100" s="3">
        <v>4</v>
      </c>
      <c r="G100" s="3">
        <v>2</v>
      </c>
      <c r="H100" s="3" t="str">
        <f t="shared" si="6"/>
        <v>11/12</v>
      </c>
      <c r="O100" s="123" t="str">
        <f t="shared" si="7"/>
        <v/>
      </c>
      <c r="Q100" s="123" t="str">
        <f t="shared" si="7"/>
        <v/>
      </c>
      <c r="AB100" s="125" t="s">
        <v>156</v>
      </c>
      <c r="AC100" s="125" t="s">
        <v>290</v>
      </c>
      <c r="AD100" s="125" t="s">
        <v>292</v>
      </c>
    </row>
    <row r="101" spans="2:30">
      <c r="B101" s="125" t="s">
        <v>138</v>
      </c>
      <c r="C101" s="125" t="s">
        <v>285</v>
      </c>
      <c r="D101" s="125" t="s">
        <v>287</v>
      </c>
      <c r="E101" s="125" t="str">
        <f t="shared" si="5"/>
        <v>TECHPRO - CONSTRUCTION AND BUILDING TECHNOLOGIES</v>
      </c>
      <c r="F101" s="3">
        <v>4</v>
      </c>
      <c r="G101" s="3">
        <v>2</v>
      </c>
      <c r="H101" s="3" t="str">
        <f t="shared" si="6"/>
        <v>11/12</v>
      </c>
      <c r="O101" s="123" t="str">
        <f t="shared" si="7"/>
        <v/>
      </c>
      <c r="Q101" s="123" t="str">
        <f t="shared" si="7"/>
        <v/>
      </c>
      <c r="AB101" s="125" t="s">
        <v>156</v>
      </c>
      <c r="AC101" s="125" t="s">
        <v>290</v>
      </c>
      <c r="AD101" s="125" t="s">
        <v>293</v>
      </c>
    </row>
    <row r="102" spans="2:30">
      <c r="B102" s="125" t="s">
        <v>138</v>
      </c>
      <c r="C102" s="125" t="s">
        <v>285</v>
      </c>
      <c r="D102" s="125" t="s">
        <v>288</v>
      </c>
      <c r="E102" s="125" t="str">
        <f t="shared" ref="E102:E138" si="8">B102&amp;" - "&amp;C102</f>
        <v>TECHPRO - CONSTRUCTION AND BUILDING TECHNOLOGIES</v>
      </c>
      <c r="F102" s="3">
        <v>4</v>
      </c>
      <c r="G102" s="3">
        <v>2</v>
      </c>
      <c r="H102" s="3" t="str">
        <f t="shared" si="6"/>
        <v>11/12</v>
      </c>
      <c r="O102" s="123" t="str">
        <f t="shared" si="7"/>
        <v/>
      </c>
      <c r="Q102" s="123" t="str">
        <f t="shared" si="7"/>
        <v/>
      </c>
      <c r="AB102" s="125" t="s">
        <v>156</v>
      </c>
      <c r="AC102" s="125" t="s">
        <v>294</v>
      </c>
      <c r="AD102" s="125" t="s">
        <v>295</v>
      </c>
    </row>
    <row r="103" spans="2:30">
      <c r="B103" s="125" t="s">
        <v>138</v>
      </c>
      <c r="C103" s="125" t="s">
        <v>285</v>
      </c>
      <c r="D103" s="125" t="s">
        <v>289</v>
      </c>
      <c r="E103" s="125" t="str">
        <f t="shared" si="8"/>
        <v>TECHPRO - CONSTRUCTION AND BUILDING TECHNOLOGIES</v>
      </c>
      <c r="F103" s="3">
        <v>4</v>
      </c>
      <c r="G103" s="3">
        <v>2</v>
      </c>
      <c r="H103" s="3" t="str">
        <f t="shared" si="6"/>
        <v>11/12</v>
      </c>
      <c r="O103" s="123" t="str">
        <f t="shared" si="7"/>
        <v/>
      </c>
      <c r="Q103" s="123" t="str">
        <f t="shared" si="7"/>
        <v/>
      </c>
      <c r="AB103" s="125" t="s">
        <v>156</v>
      </c>
      <c r="AC103" s="125" t="s">
        <v>294</v>
      </c>
      <c r="AD103" s="125" t="s">
        <v>296</v>
      </c>
    </row>
    <row r="104" spans="2:30">
      <c r="B104" s="125" t="s">
        <v>138</v>
      </c>
      <c r="C104" s="125" t="s">
        <v>290</v>
      </c>
      <c r="D104" s="125" t="s">
        <v>291</v>
      </c>
      <c r="E104" s="125" t="str">
        <f t="shared" si="8"/>
        <v>TECHPRO - CREATIVE ARTS AND DESIGN TECHNOLOGIES</v>
      </c>
      <c r="F104" s="3">
        <v>4</v>
      </c>
      <c r="G104" s="3">
        <v>2</v>
      </c>
      <c r="H104" s="3" t="str">
        <f t="shared" si="6"/>
        <v>11/12</v>
      </c>
      <c r="O104" s="123" t="str">
        <f t="shared" si="7"/>
        <v/>
      </c>
      <c r="Q104" s="123" t="str">
        <f t="shared" si="7"/>
        <v/>
      </c>
      <c r="AB104" s="125" t="s">
        <v>156</v>
      </c>
      <c r="AC104" s="125" t="s">
        <v>294</v>
      </c>
      <c r="AD104" s="125" t="s">
        <v>297</v>
      </c>
    </row>
    <row r="105" spans="2:30">
      <c r="B105" s="125" t="s">
        <v>138</v>
      </c>
      <c r="C105" s="125" t="s">
        <v>290</v>
      </c>
      <c r="D105" s="125" t="s">
        <v>292</v>
      </c>
      <c r="E105" s="125" t="str">
        <f t="shared" si="8"/>
        <v>TECHPRO - CREATIVE ARTS AND DESIGN TECHNOLOGIES</v>
      </c>
      <c r="F105" s="3">
        <v>4</v>
      </c>
      <c r="G105" s="3">
        <v>2</v>
      </c>
      <c r="H105" s="3" t="str">
        <f t="shared" si="6"/>
        <v>11/12</v>
      </c>
      <c r="O105" s="123" t="str">
        <f t="shared" si="7"/>
        <v/>
      </c>
      <c r="Q105" s="123" t="str">
        <f t="shared" si="7"/>
        <v/>
      </c>
      <c r="AB105" s="125" t="s">
        <v>156</v>
      </c>
      <c r="AC105" s="125" t="s">
        <v>294</v>
      </c>
      <c r="AD105" s="125" t="s">
        <v>298</v>
      </c>
    </row>
    <row r="106" spans="2:30">
      <c r="B106" s="125" t="s">
        <v>138</v>
      </c>
      <c r="C106" s="125" t="s">
        <v>290</v>
      </c>
      <c r="D106" s="125" t="s">
        <v>293</v>
      </c>
      <c r="E106" s="125" t="str">
        <f t="shared" si="8"/>
        <v>TECHPRO - CREATIVE ARTS AND DESIGN TECHNOLOGIES</v>
      </c>
      <c r="F106" s="3">
        <v>4</v>
      </c>
      <c r="G106" s="3">
        <v>2</v>
      </c>
      <c r="H106" s="3" t="str">
        <f t="shared" si="6"/>
        <v>11/12</v>
      </c>
      <c r="O106" s="123" t="str">
        <f t="shared" si="7"/>
        <v/>
      </c>
      <c r="Q106" s="123" t="str">
        <f t="shared" si="7"/>
        <v/>
      </c>
      <c r="AB106" s="125" t="s">
        <v>156</v>
      </c>
      <c r="AC106" s="125" t="s">
        <v>294</v>
      </c>
      <c r="AD106" s="125" t="s">
        <v>299</v>
      </c>
    </row>
    <row r="107" spans="2:30">
      <c r="B107" s="125" t="s">
        <v>138</v>
      </c>
      <c r="C107" s="125" t="s">
        <v>294</v>
      </c>
      <c r="D107" s="125" t="s">
        <v>295</v>
      </c>
      <c r="E107" s="125" t="str">
        <f t="shared" si="8"/>
        <v>TECHPRO - HOSPITALITY AND TOURISM</v>
      </c>
      <c r="F107" s="3">
        <v>4</v>
      </c>
      <c r="G107" s="3">
        <v>2</v>
      </c>
      <c r="H107" s="3" t="str">
        <f t="shared" si="6"/>
        <v>11/12</v>
      </c>
      <c r="O107" s="123" t="str">
        <f t="shared" si="7"/>
        <v/>
      </c>
      <c r="Q107" s="123" t="str">
        <f t="shared" si="7"/>
        <v/>
      </c>
      <c r="AB107" s="125" t="s">
        <v>156</v>
      </c>
      <c r="AC107" s="125" t="s">
        <v>294</v>
      </c>
      <c r="AD107" s="125" t="s">
        <v>300</v>
      </c>
    </row>
    <row r="108" spans="2:30">
      <c r="B108" s="125" t="s">
        <v>138</v>
      </c>
      <c r="C108" s="125" t="s">
        <v>294</v>
      </c>
      <c r="D108" s="125" t="s">
        <v>296</v>
      </c>
      <c r="E108" s="125" t="str">
        <f t="shared" si="8"/>
        <v>TECHPRO - HOSPITALITY AND TOURISM</v>
      </c>
      <c r="F108" s="3">
        <v>4</v>
      </c>
      <c r="G108" s="3">
        <v>2</v>
      </c>
      <c r="H108" s="3" t="str">
        <f t="shared" si="6"/>
        <v>11/12</v>
      </c>
      <c r="O108" s="123" t="str">
        <f t="shared" si="7"/>
        <v/>
      </c>
      <c r="Q108" s="123" t="str">
        <f t="shared" si="7"/>
        <v/>
      </c>
      <c r="AB108" s="125" t="s">
        <v>156</v>
      </c>
      <c r="AC108" s="125" t="s">
        <v>294</v>
      </c>
      <c r="AD108" s="125" t="s">
        <v>301</v>
      </c>
    </row>
    <row r="109" spans="2:30">
      <c r="B109" s="125" t="s">
        <v>138</v>
      </c>
      <c r="C109" s="125" t="s">
        <v>294</v>
      </c>
      <c r="D109" s="125" t="s">
        <v>297</v>
      </c>
      <c r="E109" s="125" t="str">
        <f t="shared" si="8"/>
        <v>TECHPRO - HOSPITALITY AND TOURISM</v>
      </c>
      <c r="F109" s="3">
        <v>4</v>
      </c>
      <c r="G109" s="3">
        <v>2</v>
      </c>
      <c r="H109" s="3" t="str">
        <f t="shared" si="6"/>
        <v>11/12</v>
      </c>
      <c r="O109" s="123" t="str">
        <f t="shared" si="7"/>
        <v/>
      </c>
      <c r="Q109" s="123" t="str">
        <f t="shared" si="7"/>
        <v/>
      </c>
      <c r="AB109" s="125" t="s">
        <v>156</v>
      </c>
      <c r="AC109" s="125" t="s">
        <v>302</v>
      </c>
      <c r="AD109" s="125" t="s">
        <v>303</v>
      </c>
    </row>
    <row r="110" spans="2:30">
      <c r="B110" s="125" t="s">
        <v>138</v>
      </c>
      <c r="C110" s="125" t="s">
        <v>294</v>
      </c>
      <c r="D110" s="125" t="s">
        <v>298</v>
      </c>
      <c r="E110" s="125" t="str">
        <f t="shared" si="8"/>
        <v>TECHPRO - HOSPITALITY AND TOURISM</v>
      </c>
      <c r="F110" s="3">
        <v>4</v>
      </c>
      <c r="G110" s="3">
        <v>2</v>
      </c>
      <c r="H110" s="3" t="str">
        <f t="shared" si="6"/>
        <v>11/12</v>
      </c>
      <c r="O110" s="123" t="str">
        <f t="shared" si="7"/>
        <v/>
      </c>
      <c r="Q110" s="123" t="str">
        <f t="shared" si="7"/>
        <v/>
      </c>
      <c r="AB110" s="125" t="s">
        <v>156</v>
      </c>
      <c r="AC110" s="125" t="s">
        <v>302</v>
      </c>
      <c r="AD110" s="125" t="s">
        <v>304</v>
      </c>
    </row>
    <row r="111" spans="2:30">
      <c r="B111" s="125" t="s">
        <v>138</v>
      </c>
      <c r="C111" s="125" t="s">
        <v>294</v>
      </c>
      <c r="D111" s="125" t="s">
        <v>299</v>
      </c>
      <c r="E111" s="125" t="str">
        <f t="shared" si="8"/>
        <v>TECHPRO - HOSPITALITY AND TOURISM</v>
      </c>
      <c r="F111" s="3">
        <v>4</v>
      </c>
      <c r="G111" s="3">
        <v>2</v>
      </c>
      <c r="H111" s="3" t="str">
        <f t="shared" si="6"/>
        <v>11/12</v>
      </c>
      <c r="O111" s="123" t="str">
        <f t="shared" si="7"/>
        <v/>
      </c>
      <c r="Q111" s="123" t="str">
        <f t="shared" si="7"/>
        <v/>
      </c>
      <c r="AB111" s="125" t="s">
        <v>156</v>
      </c>
      <c r="AC111" s="125" t="s">
        <v>302</v>
      </c>
      <c r="AD111" s="125" t="s">
        <v>305</v>
      </c>
    </row>
    <row r="112" spans="2:30">
      <c r="B112" s="125" t="s">
        <v>138</v>
      </c>
      <c r="C112" s="125" t="s">
        <v>294</v>
      </c>
      <c r="D112" s="125" t="s">
        <v>300</v>
      </c>
      <c r="E112" s="125" t="str">
        <f t="shared" si="8"/>
        <v>TECHPRO - HOSPITALITY AND TOURISM</v>
      </c>
      <c r="F112" s="3">
        <v>4</v>
      </c>
      <c r="G112" s="3">
        <v>2</v>
      </c>
      <c r="H112" s="3" t="str">
        <f t="shared" si="6"/>
        <v>11/12</v>
      </c>
      <c r="O112" s="123" t="str">
        <f t="shared" si="7"/>
        <v/>
      </c>
      <c r="Q112" s="123" t="str">
        <f t="shared" si="7"/>
        <v/>
      </c>
      <c r="AB112" s="125" t="s">
        <v>156</v>
      </c>
      <c r="AC112" s="125" t="s">
        <v>302</v>
      </c>
      <c r="AD112" s="125" t="s">
        <v>306</v>
      </c>
    </row>
    <row r="113" spans="2:30">
      <c r="B113" s="125" t="s">
        <v>138</v>
      </c>
      <c r="C113" s="125" t="s">
        <v>294</v>
      </c>
      <c r="D113" s="125" t="s">
        <v>301</v>
      </c>
      <c r="E113" s="125" t="str">
        <f t="shared" si="8"/>
        <v>TECHPRO - HOSPITALITY AND TOURISM</v>
      </c>
      <c r="F113" s="3">
        <v>4</v>
      </c>
      <c r="G113" s="3">
        <v>2</v>
      </c>
      <c r="H113" s="3" t="str">
        <f t="shared" si="6"/>
        <v>11/12</v>
      </c>
      <c r="O113" s="123" t="str">
        <f t="shared" si="7"/>
        <v/>
      </c>
      <c r="Q113" s="123" t="str">
        <f t="shared" si="7"/>
        <v/>
      </c>
      <c r="AB113" s="125" t="s">
        <v>156</v>
      </c>
      <c r="AC113" s="125" t="s">
        <v>302</v>
      </c>
      <c r="AD113" s="125" t="s">
        <v>307</v>
      </c>
    </row>
    <row r="114" spans="2:30">
      <c r="B114" s="125" t="s">
        <v>138</v>
      </c>
      <c r="C114" s="125" t="s">
        <v>302</v>
      </c>
      <c r="D114" s="125" t="s">
        <v>303</v>
      </c>
      <c r="E114" s="125" t="str">
        <f t="shared" si="8"/>
        <v>TECHPRO - INDUSTRIAL TECHNOLOGIES</v>
      </c>
      <c r="F114" s="3">
        <v>4</v>
      </c>
      <c r="G114" s="3">
        <v>2</v>
      </c>
      <c r="H114" s="3" t="str">
        <f t="shared" si="6"/>
        <v>11/12</v>
      </c>
      <c r="O114" s="123" t="str">
        <f t="shared" si="7"/>
        <v/>
      </c>
      <c r="Q114" s="123" t="str">
        <f t="shared" si="7"/>
        <v/>
      </c>
      <c r="AB114" s="125" t="s">
        <v>156</v>
      </c>
      <c r="AC114" s="125" t="s">
        <v>302</v>
      </c>
      <c r="AD114" s="125" t="s">
        <v>308</v>
      </c>
    </row>
    <row r="115" spans="2:30">
      <c r="B115" s="125" t="s">
        <v>138</v>
      </c>
      <c r="C115" s="125" t="s">
        <v>302</v>
      </c>
      <c r="D115" s="125" t="s">
        <v>304</v>
      </c>
      <c r="E115" s="125" t="str">
        <f t="shared" si="8"/>
        <v>TECHPRO - INDUSTRIAL TECHNOLOGIES</v>
      </c>
      <c r="F115" s="3">
        <v>4</v>
      </c>
      <c r="G115" s="3">
        <v>2</v>
      </c>
      <c r="H115" s="3" t="str">
        <f t="shared" si="6"/>
        <v>11/12</v>
      </c>
      <c r="O115" s="123" t="str">
        <f t="shared" si="7"/>
        <v/>
      </c>
      <c r="Q115" s="123" t="str">
        <f t="shared" si="7"/>
        <v/>
      </c>
      <c r="AB115" s="125" t="s">
        <v>156</v>
      </c>
      <c r="AC115" s="125" t="s">
        <v>309</v>
      </c>
      <c r="AD115" s="125" t="s">
        <v>310</v>
      </c>
    </row>
    <row r="116" spans="2:30">
      <c r="B116" s="125" t="s">
        <v>138</v>
      </c>
      <c r="C116" s="125" t="s">
        <v>302</v>
      </c>
      <c r="D116" s="125" t="s">
        <v>305</v>
      </c>
      <c r="E116" s="125" t="str">
        <f t="shared" si="8"/>
        <v>TECHPRO - INDUSTRIAL TECHNOLOGIES</v>
      </c>
      <c r="F116" s="3">
        <v>4</v>
      </c>
      <c r="G116" s="3">
        <v>2</v>
      </c>
      <c r="H116" s="3" t="str">
        <f t="shared" si="6"/>
        <v>11/12</v>
      </c>
      <c r="O116" s="123" t="str">
        <f t="shared" si="7"/>
        <v/>
      </c>
      <c r="Q116" s="123" t="str">
        <f t="shared" si="7"/>
        <v/>
      </c>
      <c r="AB116" s="125" t="s">
        <v>156</v>
      </c>
      <c r="AC116" s="125" t="s">
        <v>309</v>
      </c>
      <c r="AD116" s="125" t="s">
        <v>311</v>
      </c>
    </row>
    <row r="117" spans="2:30">
      <c r="B117" s="125" t="s">
        <v>138</v>
      </c>
      <c r="C117" s="125" t="s">
        <v>302</v>
      </c>
      <c r="D117" s="125" t="s">
        <v>306</v>
      </c>
      <c r="E117" s="125" t="str">
        <f t="shared" si="8"/>
        <v>TECHPRO - INDUSTRIAL TECHNOLOGIES</v>
      </c>
      <c r="F117" s="3">
        <v>4</v>
      </c>
      <c r="G117" s="3">
        <v>2</v>
      </c>
      <c r="H117" s="3" t="str">
        <f t="shared" si="6"/>
        <v>11/12</v>
      </c>
      <c r="O117" s="123" t="str">
        <f t="shared" si="7"/>
        <v/>
      </c>
      <c r="Q117" s="123" t="str">
        <f t="shared" si="7"/>
        <v/>
      </c>
      <c r="AB117" s="125" t="s">
        <v>156</v>
      </c>
      <c r="AC117" s="125" t="s">
        <v>309</v>
      </c>
      <c r="AD117" s="125" t="s">
        <v>312</v>
      </c>
    </row>
    <row r="118" spans="2:30">
      <c r="B118" s="125" t="s">
        <v>138</v>
      </c>
      <c r="C118" s="125" t="s">
        <v>302</v>
      </c>
      <c r="D118" s="125" t="s">
        <v>307</v>
      </c>
      <c r="E118" s="125" t="str">
        <f t="shared" si="8"/>
        <v>TECHPRO - INDUSTRIAL TECHNOLOGIES</v>
      </c>
      <c r="F118" s="3">
        <v>4</v>
      </c>
      <c r="G118" s="3">
        <v>2</v>
      </c>
      <c r="H118" s="3" t="str">
        <f t="shared" si="6"/>
        <v>11/12</v>
      </c>
      <c r="O118" s="123" t="str">
        <f t="shared" si="7"/>
        <v/>
      </c>
      <c r="Q118" s="123" t="str">
        <f t="shared" si="7"/>
        <v/>
      </c>
      <c r="AB118" s="125" t="s">
        <v>156</v>
      </c>
      <c r="AC118" s="125" t="s">
        <v>309</v>
      </c>
      <c r="AD118" s="125" t="s">
        <v>313</v>
      </c>
    </row>
    <row r="119" spans="2:30">
      <c r="B119" s="125" t="s">
        <v>138</v>
      </c>
      <c r="C119" s="125" t="s">
        <v>302</v>
      </c>
      <c r="D119" s="125" t="s">
        <v>308</v>
      </c>
      <c r="E119" s="125" t="str">
        <f t="shared" si="8"/>
        <v>TECHPRO - INDUSTRIAL TECHNOLOGIES</v>
      </c>
      <c r="F119" s="3">
        <v>4</v>
      </c>
      <c r="G119" s="3">
        <v>2</v>
      </c>
      <c r="H119" s="3" t="str">
        <f t="shared" si="6"/>
        <v>11/12</v>
      </c>
      <c r="O119" s="123" t="str">
        <f t="shared" si="7"/>
        <v/>
      </c>
      <c r="Q119" s="123" t="str">
        <f t="shared" si="7"/>
        <v/>
      </c>
      <c r="AB119" s="125" t="s">
        <v>156</v>
      </c>
      <c r="AC119" s="125" t="s">
        <v>309</v>
      </c>
      <c r="AD119" s="125" t="s">
        <v>314</v>
      </c>
    </row>
    <row r="120" spans="2:30">
      <c r="B120" s="125" t="s">
        <v>138</v>
      </c>
      <c r="C120" s="125" t="s">
        <v>309</v>
      </c>
      <c r="D120" s="125" t="s">
        <v>310</v>
      </c>
      <c r="E120" s="125" t="str">
        <f t="shared" si="8"/>
        <v>TECHPRO - ICT SUPPORT AND COMPUTER PROGRAMMING TECHNOLOGIES</v>
      </c>
      <c r="F120" s="3">
        <v>4</v>
      </c>
      <c r="G120" s="3">
        <v>2</v>
      </c>
      <c r="H120" s="3" t="str">
        <f t="shared" si="6"/>
        <v>11/12</v>
      </c>
      <c r="O120" s="123" t="str">
        <f t="shared" si="7"/>
        <v/>
      </c>
      <c r="Q120" s="123" t="str">
        <f t="shared" si="7"/>
        <v/>
      </c>
      <c r="AB120" s="125" t="s">
        <v>156</v>
      </c>
      <c r="AC120" s="125" t="s">
        <v>309</v>
      </c>
      <c r="AD120" s="125" t="s">
        <v>315</v>
      </c>
    </row>
    <row r="121" spans="2:30">
      <c r="B121" s="125" t="s">
        <v>138</v>
      </c>
      <c r="C121" s="125" t="s">
        <v>309</v>
      </c>
      <c r="D121" s="125" t="s">
        <v>311</v>
      </c>
      <c r="E121" s="125" t="str">
        <f t="shared" si="8"/>
        <v>TECHPRO - ICT SUPPORT AND COMPUTER PROGRAMMING TECHNOLOGIES</v>
      </c>
      <c r="F121" s="3">
        <v>4</v>
      </c>
      <c r="G121" s="3">
        <v>2</v>
      </c>
      <c r="H121" s="3" t="str">
        <f t="shared" si="6"/>
        <v>11/12</v>
      </c>
      <c r="O121" s="123" t="str">
        <f t="shared" si="7"/>
        <v/>
      </c>
      <c r="Q121" s="123" t="str">
        <f t="shared" si="7"/>
        <v/>
      </c>
      <c r="AB121" s="125" t="s">
        <v>156</v>
      </c>
      <c r="AC121" s="125" t="s">
        <v>316</v>
      </c>
      <c r="AD121" s="125" t="s">
        <v>317</v>
      </c>
    </row>
    <row r="122" spans="2:30">
      <c r="B122" s="125" t="s">
        <v>138</v>
      </c>
      <c r="C122" s="125" t="s">
        <v>309</v>
      </c>
      <c r="D122" s="125" t="s">
        <v>312</v>
      </c>
      <c r="E122" s="125" t="str">
        <f t="shared" si="8"/>
        <v>TECHPRO - ICT SUPPORT AND COMPUTER PROGRAMMING TECHNOLOGIES</v>
      </c>
      <c r="F122" s="3">
        <v>4</v>
      </c>
      <c r="G122" s="3">
        <v>2</v>
      </c>
      <c r="H122" s="3" t="str">
        <f t="shared" si="6"/>
        <v>11/12</v>
      </c>
      <c r="O122" s="123" t="str">
        <f t="shared" si="7"/>
        <v/>
      </c>
      <c r="Q122" s="123" t="str">
        <f t="shared" si="7"/>
        <v/>
      </c>
      <c r="AB122" s="125" t="s">
        <v>156</v>
      </c>
      <c r="AC122" s="125" t="s">
        <v>316</v>
      </c>
      <c r="AD122" s="125" t="s">
        <v>318</v>
      </c>
    </row>
    <row r="123" spans="2:30">
      <c r="B123" s="125" t="s">
        <v>138</v>
      </c>
      <c r="C123" s="125" t="s">
        <v>309</v>
      </c>
      <c r="D123" s="125" t="s">
        <v>313</v>
      </c>
      <c r="E123" s="125" t="str">
        <f t="shared" si="8"/>
        <v>TECHPRO - ICT SUPPORT AND COMPUTER PROGRAMMING TECHNOLOGIES</v>
      </c>
      <c r="F123" s="3">
        <v>4</v>
      </c>
      <c r="G123" s="3">
        <v>2</v>
      </c>
      <c r="H123" s="3" t="str">
        <f t="shared" si="6"/>
        <v>11/12</v>
      </c>
      <c r="O123" s="123" t="str">
        <f t="shared" si="7"/>
        <v/>
      </c>
      <c r="Q123" s="123" t="str">
        <f t="shared" si="7"/>
        <v/>
      </c>
      <c r="AB123" s="125" t="s">
        <v>156</v>
      </c>
      <c r="AC123" s="125" t="s">
        <v>316</v>
      </c>
      <c r="AD123" s="125" t="s">
        <v>319</v>
      </c>
    </row>
    <row r="124" spans="2:30">
      <c r="B124" s="125" t="s">
        <v>138</v>
      </c>
      <c r="C124" s="125" t="s">
        <v>309</v>
      </c>
      <c r="D124" s="125" t="s">
        <v>314</v>
      </c>
      <c r="E124" s="125" t="str">
        <f t="shared" si="8"/>
        <v>TECHPRO - ICT SUPPORT AND COMPUTER PROGRAMMING TECHNOLOGIES</v>
      </c>
      <c r="F124" s="3">
        <v>4</v>
      </c>
      <c r="G124" s="3">
        <v>2</v>
      </c>
      <c r="H124" s="3" t="str">
        <f t="shared" si="6"/>
        <v>11/12</v>
      </c>
      <c r="O124" s="123" t="str">
        <f t="shared" si="7"/>
        <v/>
      </c>
      <c r="Q124" s="123" t="str">
        <f t="shared" si="7"/>
        <v/>
      </c>
      <c r="AB124" s="125" t="s">
        <v>158</v>
      </c>
      <c r="AC124" s="125" t="s">
        <v>255</v>
      </c>
      <c r="AD124" s="125" t="s">
        <v>320</v>
      </c>
    </row>
    <row r="125" spans="2:30">
      <c r="B125" s="125" t="s">
        <v>138</v>
      </c>
      <c r="C125" s="125" t="s">
        <v>309</v>
      </c>
      <c r="D125" s="125" t="s">
        <v>315</v>
      </c>
      <c r="E125" s="125" t="str">
        <f t="shared" si="8"/>
        <v>TECHPRO - ICT SUPPORT AND COMPUTER PROGRAMMING TECHNOLOGIES</v>
      </c>
      <c r="F125" s="3">
        <v>4</v>
      </c>
      <c r="G125" s="3">
        <v>2</v>
      </c>
      <c r="H125" s="3" t="str">
        <f t="shared" si="6"/>
        <v>11/12</v>
      </c>
      <c r="O125" s="123" t="str">
        <f t="shared" si="7"/>
        <v/>
      </c>
      <c r="Q125" s="123" t="str">
        <f t="shared" si="7"/>
        <v/>
      </c>
      <c r="AB125" s="125" t="s">
        <v>158</v>
      </c>
      <c r="AC125" s="125" t="s">
        <v>267</v>
      </c>
      <c r="AD125" s="125" t="s">
        <v>320</v>
      </c>
    </row>
    <row r="126" spans="2:30">
      <c r="B126" s="125" t="s">
        <v>138</v>
      </c>
      <c r="C126" s="125" t="s">
        <v>316</v>
      </c>
      <c r="D126" s="125" t="s">
        <v>317</v>
      </c>
      <c r="E126" s="125" t="str">
        <f t="shared" si="8"/>
        <v>TECHPRO - MARITIME TRANSPORT</v>
      </c>
      <c r="F126" s="3">
        <v>4</v>
      </c>
      <c r="G126" s="3">
        <v>2</v>
      </c>
      <c r="H126" s="3" t="str">
        <f t="shared" si="6"/>
        <v>11/12</v>
      </c>
      <c r="O126" s="123" t="str">
        <f t="shared" si="7"/>
        <v/>
      </c>
      <c r="Q126" s="123" t="str">
        <f t="shared" si="7"/>
        <v/>
      </c>
      <c r="AB126" s="125" t="s">
        <v>158</v>
      </c>
      <c r="AC126" s="125" t="s">
        <v>277</v>
      </c>
      <c r="AD126" s="125" t="s">
        <v>320</v>
      </c>
    </row>
    <row r="127" spans="2:30">
      <c r="B127" s="125" t="s">
        <v>138</v>
      </c>
      <c r="C127" s="125" t="s">
        <v>316</v>
      </c>
      <c r="D127" s="125" t="s">
        <v>318</v>
      </c>
      <c r="E127" s="125" t="str">
        <f t="shared" si="8"/>
        <v>TECHPRO - MARITIME TRANSPORT</v>
      </c>
      <c r="F127" s="3">
        <v>4</v>
      </c>
      <c r="G127" s="3">
        <v>2</v>
      </c>
      <c r="H127" s="3" t="str">
        <f t="shared" si="6"/>
        <v>11/12</v>
      </c>
      <c r="O127" s="123" t="str">
        <f t="shared" si="7"/>
        <v/>
      </c>
      <c r="Q127" s="123" t="str">
        <f t="shared" si="7"/>
        <v/>
      </c>
      <c r="AB127" s="125" t="s">
        <v>158</v>
      </c>
      <c r="AC127" s="125" t="s">
        <v>280</v>
      </c>
      <c r="AD127" s="125" t="s">
        <v>320</v>
      </c>
    </row>
    <row r="128" spans="2:30">
      <c r="B128" s="125" t="s">
        <v>138</v>
      </c>
      <c r="C128" s="125" t="s">
        <v>316</v>
      </c>
      <c r="D128" s="125" t="s">
        <v>319</v>
      </c>
      <c r="E128" s="125" t="str">
        <f t="shared" si="8"/>
        <v>TECHPRO - MARITIME TRANSPORT</v>
      </c>
      <c r="F128" s="3">
        <v>4</v>
      </c>
      <c r="G128" s="3">
        <v>2</v>
      </c>
      <c r="H128" s="3" t="str">
        <f t="shared" si="6"/>
        <v>11/12</v>
      </c>
      <c r="O128" s="123" t="str">
        <f t="shared" si="7"/>
        <v/>
      </c>
      <c r="Q128" s="123" t="str">
        <f t="shared" si="7"/>
        <v/>
      </c>
      <c r="AB128" s="125" t="s">
        <v>158</v>
      </c>
      <c r="AC128" s="125" t="s">
        <v>285</v>
      </c>
      <c r="AD128" s="125" t="s">
        <v>320</v>
      </c>
    </row>
    <row r="129" spans="2:30">
      <c r="B129" s="125" t="s">
        <v>138</v>
      </c>
      <c r="C129" s="125" t="s">
        <v>255</v>
      </c>
      <c r="D129" s="125" t="s">
        <v>321</v>
      </c>
      <c r="E129" s="125" t="str">
        <f t="shared" si="8"/>
        <v>TECHPRO - AESTHETIC, WELLNESS AND HUMAN CARE CLUSTER</v>
      </c>
      <c r="F129" s="3">
        <v>4</v>
      </c>
      <c r="G129" s="3">
        <v>2</v>
      </c>
      <c r="H129" s="3" t="str">
        <f t="shared" si="6"/>
        <v>11/12</v>
      </c>
      <c r="O129" s="123" t="str">
        <f t="shared" si="7"/>
        <v/>
      </c>
      <c r="Q129" s="123" t="str">
        <f t="shared" si="7"/>
        <v/>
      </c>
      <c r="AB129" s="125" t="s">
        <v>158</v>
      </c>
      <c r="AC129" s="125" t="s">
        <v>290</v>
      </c>
      <c r="AD129" s="125" t="s">
        <v>320</v>
      </c>
    </row>
    <row r="130" spans="2:30">
      <c r="B130" s="125" t="s">
        <v>138</v>
      </c>
      <c r="C130" s="125" t="s">
        <v>267</v>
      </c>
      <c r="D130" s="125" t="s">
        <v>322</v>
      </c>
      <c r="E130" s="125" t="str">
        <f t="shared" si="8"/>
        <v>TECHPRO - AGRI-FISHERY BUSINESS AND FOOD INNOVATION</v>
      </c>
      <c r="F130" s="3">
        <v>4</v>
      </c>
      <c r="G130" s="3">
        <v>2</v>
      </c>
      <c r="H130" s="3" t="str">
        <f t="shared" si="6"/>
        <v>11/12</v>
      </c>
      <c r="O130" s="123" t="str">
        <f t="shared" si="7"/>
        <v/>
      </c>
      <c r="Q130" s="123" t="str">
        <f t="shared" si="7"/>
        <v/>
      </c>
      <c r="AB130" s="125" t="s">
        <v>158</v>
      </c>
      <c r="AC130" s="125" t="s">
        <v>294</v>
      </c>
      <c r="AD130" s="125" t="s">
        <v>320</v>
      </c>
    </row>
    <row r="131" spans="2:30">
      <c r="B131" s="125" t="s">
        <v>138</v>
      </c>
      <c r="C131" s="125" t="s">
        <v>277</v>
      </c>
      <c r="D131" s="125" t="s">
        <v>323</v>
      </c>
      <c r="E131" s="125" t="str">
        <f t="shared" si="8"/>
        <v>TECHPRO - ARTISANRY AND CREATIVE ENTERPRISE</v>
      </c>
      <c r="F131" s="3">
        <v>4</v>
      </c>
      <c r="G131" s="3">
        <v>2</v>
      </c>
      <c r="H131" s="3" t="str">
        <f t="shared" si="6"/>
        <v>11/12</v>
      </c>
      <c r="O131" s="123" t="str">
        <f t="shared" si="7"/>
        <v/>
      </c>
      <c r="Q131" s="123" t="str">
        <f t="shared" si="7"/>
        <v/>
      </c>
      <c r="AB131" s="125" t="s">
        <v>158</v>
      </c>
      <c r="AC131" s="125" t="s">
        <v>302</v>
      </c>
      <c r="AD131" s="125" t="s">
        <v>320</v>
      </c>
    </row>
    <row r="132" spans="2:30">
      <c r="B132" s="125" t="s">
        <v>138</v>
      </c>
      <c r="C132" s="125" t="s">
        <v>280</v>
      </c>
      <c r="D132" s="125" t="s">
        <v>324</v>
      </c>
      <c r="E132" s="125" t="str">
        <f t="shared" si="8"/>
        <v>TECHPRO - AUTOMOTIVE AND SMALL ENGINE TECHNOLOGIES</v>
      </c>
      <c r="F132" s="3">
        <v>4</v>
      </c>
      <c r="G132" s="3">
        <v>2</v>
      </c>
      <c r="H132" s="3" t="str">
        <f t="shared" si="6"/>
        <v>11/12</v>
      </c>
      <c r="O132" s="123" t="str">
        <f t="shared" si="7"/>
        <v/>
      </c>
      <c r="Q132" s="123" t="str">
        <f t="shared" si="7"/>
        <v/>
      </c>
      <c r="AB132" s="125" t="s">
        <v>158</v>
      </c>
      <c r="AC132" s="125" t="s">
        <v>309</v>
      </c>
      <c r="AD132" s="125" t="s">
        <v>320</v>
      </c>
    </row>
    <row r="133" spans="2:30">
      <c r="B133" s="125" t="s">
        <v>138</v>
      </c>
      <c r="C133" s="125" t="s">
        <v>285</v>
      </c>
      <c r="D133" s="125" t="s">
        <v>325</v>
      </c>
      <c r="E133" s="125" t="str">
        <f t="shared" si="8"/>
        <v>TECHPRO - CONSTRUCTION AND BUILDING TECHNOLOGIES</v>
      </c>
      <c r="F133" s="3">
        <v>4</v>
      </c>
      <c r="G133" s="3">
        <v>2</v>
      </c>
      <c r="H133" s="3" t="str">
        <f t="shared" si="6"/>
        <v>11/12</v>
      </c>
      <c r="O133" s="123" t="str">
        <f t="shared" si="7"/>
        <v/>
      </c>
      <c r="Q133" s="123" t="str">
        <f t="shared" si="7"/>
        <v/>
      </c>
      <c r="AB133" s="125" t="s">
        <v>158</v>
      </c>
      <c r="AC133" s="125" t="s">
        <v>316</v>
      </c>
      <c r="AD133" s="125" t="s">
        <v>320</v>
      </c>
    </row>
    <row r="134" spans="2:30">
      <c r="B134" s="125" t="s">
        <v>138</v>
      </c>
      <c r="C134" s="125" t="s">
        <v>290</v>
      </c>
      <c r="D134" s="125" t="s">
        <v>326</v>
      </c>
      <c r="E134" s="125" t="str">
        <f t="shared" si="8"/>
        <v>TECHPRO - CREATIVE ARTS AND DESIGN TECHNOLOGIES</v>
      </c>
      <c r="F134" s="3">
        <v>4</v>
      </c>
      <c r="G134" s="3">
        <v>2</v>
      </c>
      <c r="H134" s="3" t="str">
        <f t="shared" si="6"/>
        <v>11/12</v>
      </c>
      <c r="O134" s="123" t="str">
        <f t="shared" si="7"/>
        <v/>
      </c>
      <c r="Q134" s="123" t="str">
        <f t="shared" si="7"/>
        <v/>
      </c>
    </row>
    <row r="135" spans="2:30">
      <c r="B135" s="125" t="s">
        <v>138</v>
      </c>
      <c r="C135" s="125" t="s">
        <v>294</v>
      </c>
      <c r="D135" s="125" t="s">
        <v>327</v>
      </c>
      <c r="E135" s="125" t="str">
        <f t="shared" si="8"/>
        <v>TECHPRO - HOSPITALITY AND TOURISM</v>
      </c>
      <c r="F135" s="3">
        <v>4</v>
      </c>
      <c r="G135" s="3">
        <v>2</v>
      </c>
      <c r="H135" s="3" t="str">
        <f t="shared" ref="H135:H138" si="9">IF(AND(F135&lt;&gt;"",G135&lt;&gt;""),"11/12",IF(F135&lt;&gt;"",11,12))</f>
        <v>11/12</v>
      </c>
      <c r="O135" s="123" t="str">
        <f t="shared" si="7"/>
        <v/>
      </c>
      <c r="Q135" s="123" t="str">
        <f t="shared" si="7"/>
        <v/>
      </c>
    </row>
    <row r="136" spans="2:30">
      <c r="B136" s="125" t="s">
        <v>138</v>
      </c>
      <c r="C136" s="125" t="s">
        <v>302</v>
      </c>
      <c r="D136" s="125" t="s">
        <v>328</v>
      </c>
      <c r="E136" s="125" t="str">
        <f t="shared" si="8"/>
        <v>TECHPRO - INDUSTRIAL TECHNOLOGIES</v>
      </c>
      <c r="F136" s="3">
        <v>4</v>
      </c>
      <c r="G136" s="3">
        <v>2</v>
      </c>
      <c r="H136" s="3" t="str">
        <f t="shared" si="9"/>
        <v>11/12</v>
      </c>
      <c r="O136" s="123" t="str">
        <f t="shared" si="7"/>
        <v/>
      </c>
      <c r="Q136" s="123" t="str">
        <f t="shared" si="7"/>
        <v/>
      </c>
    </row>
    <row r="137" spans="2:30">
      <c r="B137" s="125" t="s">
        <v>138</v>
      </c>
      <c r="C137" s="125" t="s">
        <v>309</v>
      </c>
      <c r="D137" s="125" t="s">
        <v>329</v>
      </c>
      <c r="E137" s="125" t="str">
        <f t="shared" si="8"/>
        <v>TECHPRO - ICT SUPPORT AND COMPUTER PROGRAMMING TECHNOLOGIES</v>
      </c>
      <c r="F137" s="3">
        <v>4</v>
      </c>
      <c r="G137" s="3">
        <v>2</v>
      </c>
      <c r="H137" s="3" t="str">
        <f t="shared" si="9"/>
        <v>11/12</v>
      </c>
      <c r="O137" s="123" t="str">
        <f t="shared" si="7"/>
        <v/>
      </c>
      <c r="Q137" s="123" t="str">
        <f t="shared" si="7"/>
        <v/>
      </c>
    </row>
    <row r="138" spans="2:30">
      <c r="B138" s="125" t="s">
        <v>138</v>
      </c>
      <c r="C138" s="125" t="s">
        <v>316</v>
      </c>
      <c r="D138" s="125" t="s">
        <v>330</v>
      </c>
      <c r="E138" s="125" t="str">
        <f t="shared" si="8"/>
        <v>TECHPRO - MARITIME TRANSPORT</v>
      </c>
      <c r="F138" s="3">
        <v>4</v>
      </c>
      <c r="G138" s="3">
        <v>2</v>
      </c>
      <c r="H138" s="3" t="str">
        <f t="shared" si="9"/>
        <v>11/12</v>
      </c>
      <c r="O138" s="123" t="str">
        <f t="shared" si="7"/>
        <v/>
      </c>
      <c r="Q138" s="123" t="str">
        <f t="shared" si="7"/>
        <v/>
      </c>
    </row>
  </sheetData>
  <sheetProtection algorithmName="SHA-512" hashValue="jKIEVGdtCxNGMNMsqVn3yRGgC0oQCT+x6PQSmPSKZGEtBKU1zojy86rDLERp/Drmf7ROq4/kJ2mSx2c6z663wA==" saltValue="37hCYaGvYrhjYj5+dlyRPQ==" spinCount="100000" sheet="1" objects="1" scenarios="1"/>
  <phoneticPr fontId="8" type="noConversion"/>
  <conditionalFormatting sqref="A12:A138">
    <cfRule type="expression" dxfId="0" priority="1">
      <formula>$A12&lt;&gt;D12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 Margarett Lazaro</dc:creator>
  <cp:keywords/>
  <dc:description/>
  <cp:lastModifiedBy>Ann Margarett Lazaro</cp:lastModifiedBy>
  <cp:revision/>
  <dcterms:created xsi:type="dcterms:W3CDTF">2026-01-19T06:16:31Z</dcterms:created>
  <dcterms:modified xsi:type="dcterms:W3CDTF">2026-05-04T07:28:50Z</dcterms:modified>
  <cp:category/>
  <cp:contentStatus/>
</cp:coreProperties>
</file>